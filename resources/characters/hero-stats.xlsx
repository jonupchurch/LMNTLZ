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Hero Stats" sheetId="1" state="visible" r:id="rId1"/>
    <sheet name="Powers" sheetId="2" state="visible" r:id="rId2"/>
    <sheet name="Power List" sheetId="3" state="visible" r:id="rId3"/>
    <sheet name="Rules" sheetId="4" state="visible" r:id="rId4"/>
  </sheets>
  <definedNames>
    <definedName name="_xlnm._FilterDatabase" localSheetId="0" hidden="1">'Hero Stats'!$A$1:$W$28</definedName>
    <definedName name="_xlnm._FilterDatabase" localSheetId="1" hidden="1">'Powers'!$A$1:$K$28</definedName>
    <definedName name="_xlnm._FilterDatabase" localSheetId="2" hidden="1">'Power List'!$A$1:$F$88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color theme="1"/>
      <sz val="11"/>
      <scheme val="minor"/>
    </font>
    <font>
      <name val="Calibri"/>
      <b val="1"/>
      <color rgb="FFF4EFE4"/>
      <scheme val="minor"/>
    </font>
    <font>
      <name val="Calibri"/>
      <b val="1"/>
      <color theme="1"/>
      <sz val="14"/>
      <scheme val="minor"/>
    </font>
    <font>
      <name val="Calibri"/>
      <b val="1"/>
      <color theme="1"/>
      <scheme val="minor"/>
    </font>
    <font>
      <name val="Calibri"/>
      <color theme="1"/>
      <scheme val="minor"/>
    </font>
    <font>
      <name val="Calibri"/>
      <i val="1"/>
      <color theme="1"/>
      <scheme val="minor"/>
    </font>
    <font>
      <name val="Calibri"/>
      <color theme="1"/>
      <sz val="11"/>
    </font>
    <font>
      <name val="Calibri"/>
      <i val="1"/>
      <color theme="1"/>
      <sz val="9"/>
      <scheme val="minor"/>
    </font>
    <font>
      <b val="1"/>
      <color rgb="FFF4EFE4"/>
    </font>
    <font>
      <i val="1"/>
    </font>
    <font>
      <sz val="9"/>
    </font>
    <font>
      <b val="1"/>
    </font>
  </fonts>
  <fills count="10">
    <fill>
      <patternFill/>
    </fill>
    <fill>
      <patternFill patternType="lightGray"/>
    </fill>
    <fill>
      <patternFill patternType="solid">
        <fgColor rgb="FF241F38"/>
        <bgColor rgb="FF241F38"/>
      </patternFill>
    </fill>
    <fill>
      <patternFill patternType="solid">
        <fgColor rgb="FFF2F0F7"/>
        <bgColor rgb="FFF2F0F7"/>
      </patternFill>
    </fill>
    <fill>
      <patternFill patternType="solid">
        <fgColor rgb="FFFFFDF5"/>
        <bgColor rgb="FFFFFDF5"/>
      </patternFill>
    </fill>
    <fill>
      <patternFill patternType="solid">
        <fgColor rgb="FF241F38"/>
      </patternFill>
    </fill>
    <fill>
      <patternFill patternType="solid">
        <fgColor rgb="FFE6EEE2"/>
      </patternFill>
    </fill>
    <fill>
      <patternFill patternType="solid">
        <fgColor rgb="FFEFF4EC"/>
      </patternFill>
    </fill>
    <fill>
      <patternFill patternType="solid">
        <fgColor rgb="FFF2F0F7"/>
      </patternFill>
    </fill>
    <fill>
      <patternFill patternType="solid">
        <fgColor rgb="FFFFFDF5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27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  <xf numFmtId="0" fontId="1" fillId="2" borderId="1" pivotButton="0" quotePrefix="0" xfId="0"/>
    <xf numFmtId="0" fontId="5" fillId="3" borderId="1" pivotButton="0" quotePrefix="0" xfId="0"/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6" fillId="4" borderId="1" pivotButton="0" quotePrefix="0" xfId="0"/>
    <xf numFmtId="0" fontId="6" fillId="4" borderId="1" pivotButton="0" quotePrefix="0" xfId="0"/>
    <xf numFmtId="0" fontId="7" fillId="0" borderId="0" pivotButton="0" quotePrefix="0" xfId="0"/>
    <xf numFmtId="0" fontId="0" fillId="0" borderId="0" pivotButton="0" quotePrefix="0" xfId="0"/>
    <xf numFmtId="0" fontId="8" fillId="5" borderId="0" applyAlignment="1" pivotButton="0" quotePrefix="0" xfId="0">
      <alignment horizontal="center" vertical="center" wrapText="1"/>
    </xf>
    <xf numFmtId="0" fontId="8" fillId="5" borderId="0" pivotButton="0" quotePrefix="0" xfId="0"/>
    <xf numFmtId="0" fontId="9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  <xf numFmtId="0" fontId="11" fillId="7" borderId="0" pivotButton="0" quotePrefix="0" xfId="0"/>
    <xf numFmtId="0" fontId="11" fillId="8" borderId="0" pivotButton="0" quotePrefix="0" xfId="0"/>
    <xf numFmtId="0" fontId="11" fillId="9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00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4.43" defaultRowHeight="15" customHeight="1"/>
  <cols>
    <col width="5" customWidth="1" style="13" min="1" max="1"/>
    <col width="20" customWidth="1" style="13" min="2" max="2"/>
    <col width="26" customWidth="1" style="13" min="3" max="3"/>
    <col width="10" customWidth="1" style="13" min="4" max="4"/>
    <col width="12" customWidth="1" style="13" min="5" max="6"/>
    <col width="15" customWidth="1" style="13" min="7" max="8"/>
    <col width="16" customWidth="1" style="13" min="9" max="10"/>
    <col width="12" customWidth="1" style="13" min="11" max="20"/>
    <col width="9" customWidth="1" style="13" min="21" max="22"/>
    <col width="11" customWidth="1" style="13" min="23" max="23"/>
    <col width="2.43" customWidth="1" style="13" min="24" max="24"/>
    <col width="30" customWidth="1" style="13" min="25" max="25"/>
    <col width="11" customWidth="1" style="13" min="26" max="26"/>
    <col width="12" customWidth="1" style="13" min="27" max="27"/>
  </cols>
  <sheetData>
    <row r="1" ht="30" customHeight="1" s="13">
      <c r="A1" s="3" t="inlineStr">
        <is>
          <t>#</t>
        </is>
      </c>
      <c r="B1" s="3" t="inlineStr">
        <is>
          <t>Hero</t>
        </is>
      </c>
      <c r="C1" s="3" t="inlineStr">
        <is>
          <t>Slug</t>
        </is>
      </c>
      <c r="D1" s="3" t="inlineStr">
        <is>
          <t>Family</t>
        </is>
      </c>
      <c r="E1" s="3" t="inlineStr">
        <is>
          <t>Primary</t>
        </is>
      </c>
      <c r="F1" s="3" t="inlineStr">
        <is>
          <t>Secondary</t>
        </is>
      </c>
      <c r="G1" s="3" t="inlineStr">
        <is>
          <t>Bane (derived)</t>
        </is>
      </c>
      <c r="H1" s="3" t="inlineStr">
        <is>
          <t>Fault (derived)</t>
        </is>
      </c>
      <c r="I1" s="3" t="inlineStr">
        <is>
          <t>Role</t>
        </is>
      </c>
      <c r="J1" s="3" t="inlineStr">
        <is>
          <t>Reach (proposed)</t>
        </is>
      </c>
      <c r="K1" s="3" t="inlineStr">
        <is>
          <t>Might</t>
        </is>
      </c>
      <c r="L1" s="3" t="inlineStr">
        <is>
          <t>Perception</t>
        </is>
      </c>
      <c r="M1" s="3" t="inlineStr">
        <is>
          <t>Agility</t>
        </is>
      </c>
      <c r="N1" s="3" t="inlineStr">
        <is>
          <t>Toughness</t>
        </is>
      </c>
      <c r="O1" s="3" t="inlineStr">
        <is>
          <t>Armor</t>
        </is>
      </c>
      <c r="P1" s="3" t="inlineStr">
        <is>
          <t>Penetration</t>
        </is>
      </c>
      <c r="Q1" s="3" t="inlineStr">
        <is>
          <t>MagicResist</t>
        </is>
      </c>
      <c r="R1" s="3" t="inlineStr">
        <is>
          <t>Speed</t>
        </is>
      </c>
      <c r="S1" s="3" t="inlineStr">
        <is>
          <t>Resolve</t>
        </is>
      </c>
      <c r="T1" s="3" t="inlineStr">
        <is>
          <t>Luck</t>
        </is>
      </c>
      <c r="U1" s="3" t="inlineStr">
        <is>
          <t>TOTAL</t>
        </is>
      </c>
      <c r="V1" s="3" t="inlineStr">
        <is>
          <t>CHECK</t>
        </is>
      </c>
      <c r="W1" s="3" t="inlineStr">
        <is>
          <t>TARGET</t>
        </is>
      </c>
      <c r="Y1" s="6" t="inlineStr">
        <is>
          <t>TARGET TOTAL BY REACH</t>
        </is>
      </c>
    </row>
    <row r="2">
      <c r="A2" s="5" t="n">
        <v>1</v>
      </c>
      <c r="B2" s="5" t="inlineStr">
        <is>
          <t>Bramwen</t>
        </is>
      </c>
      <c r="C2" s="5" t="inlineStr">
        <is>
          <t>01-earth-bramwen</t>
        </is>
      </c>
      <c r="D2" s="5" t="inlineStr">
        <is>
          <t>Arcane</t>
        </is>
      </c>
      <c r="E2" s="5" t="inlineStr">
        <is>
          <t>Earth</t>
        </is>
      </c>
      <c r="F2" s="5" t="inlineStr">
        <is>
          <t>Fire</t>
        </is>
      </c>
      <c r="G2" s="7" t="inlineStr">
        <is>
          <t>Air</t>
        </is>
      </c>
      <c r="H2" s="7" t="inlineStr">
        <is>
          <t>Water</t>
        </is>
      </c>
      <c r="I2" s="9" t="inlineStr">
        <is>
          <t>Striker</t>
        </is>
      </c>
      <c r="J2" s="9" t="n">
        <v>1</v>
      </c>
      <c r="K2" s="11" t="n">
        <v>45</v>
      </c>
      <c r="L2" s="11" t="n">
        <v>40</v>
      </c>
      <c r="M2" s="11" t="n">
        <v>30</v>
      </c>
      <c r="N2" s="11" t="n">
        <v>25</v>
      </c>
      <c r="O2" s="11" t="n">
        <v>15</v>
      </c>
      <c r="P2" s="11" t="n">
        <v>25</v>
      </c>
      <c r="Q2" s="11" t="n">
        <v>30</v>
      </c>
      <c r="R2" s="11" t="n">
        <v>30</v>
      </c>
      <c r="S2" s="11" t="n">
        <v>25</v>
      </c>
      <c r="T2" s="11" t="n">
        <v>35</v>
      </c>
      <c r="U2" s="4">
        <f>SUM(K2:T2)</f>
        <v/>
      </c>
      <c r="V2" s="5">
        <f>IF(COUNT(K2:T2)=0,"",IF(COUNT(K2:T2)&lt;10,"INCOMPLETE",IF(N(W2)=0,"",IF(U2=W2,"OK","OFF BY "&amp;TEXT(U2-W2,"+0;-0")))))</f>
        <v/>
      </c>
      <c r="W2" s="5">
        <f>IF(N($Z$2)+N($Z$3)=0,"",IF($J2=1,$Z$2,$Z$3))</f>
        <v/>
      </c>
      <c r="Y2" s="4" t="inlineStr">
        <is>
          <t>Reach 1</t>
        </is>
      </c>
      <c r="Z2" s="11" t="n"/>
    </row>
    <row r="3">
      <c r="A3" s="5" t="n">
        <v>2</v>
      </c>
      <c r="B3" s="5" t="inlineStr">
        <is>
          <t>Ossic</t>
        </is>
      </c>
      <c r="C3" s="5" t="inlineStr">
        <is>
          <t>02-earth-ossic</t>
        </is>
      </c>
      <c r="D3" s="5" t="inlineStr">
        <is>
          <t>Arcane</t>
        </is>
      </c>
      <c r="E3" s="5" t="inlineStr">
        <is>
          <t>Earth</t>
        </is>
      </c>
      <c r="F3" s="5" t="inlineStr">
        <is>
          <t>Dark</t>
        </is>
      </c>
      <c r="G3" s="7" t="inlineStr">
        <is>
          <t>Air</t>
        </is>
      </c>
      <c r="H3" s="7" t="inlineStr">
        <is>
          <t>Light</t>
        </is>
      </c>
      <c r="I3" s="9" t="inlineStr">
        <is>
          <t>Tank</t>
        </is>
      </c>
      <c r="J3" s="9" t="n">
        <v>2</v>
      </c>
      <c r="K3" s="11" t="n">
        <v>25</v>
      </c>
      <c r="L3" s="11" t="n">
        <v>20</v>
      </c>
      <c r="M3" s="11" t="n">
        <v>20</v>
      </c>
      <c r="N3" s="11" t="n">
        <v>40</v>
      </c>
      <c r="O3" s="11" t="n">
        <v>15</v>
      </c>
      <c r="P3" s="11" t="n">
        <v>25</v>
      </c>
      <c r="Q3" s="11" t="n">
        <v>30</v>
      </c>
      <c r="R3" s="11" t="n">
        <v>25</v>
      </c>
      <c r="S3" s="11" t="n">
        <v>35</v>
      </c>
      <c r="T3" s="11" t="n">
        <v>40</v>
      </c>
      <c r="U3" s="4">
        <f>SUM(K3:T3)</f>
        <v/>
      </c>
      <c r="V3" s="5">
        <f>IF(COUNT(K3:T3)=0,"",IF(COUNT(K3:T3)&lt;10,"INCOMPLETE",IF(N(W3)=0,"",IF(U3=W3,"OK","OFF BY "&amp;TEXT(U3-W3,"+0;-0")))))</f>
        <v/>
      </c>
      <c r="W3" s="5">
        <f>IF(N($Z$2)+N($Z$3)=0,"",IF($J3=1,$Z$2,$Z$3))</f>
        <v/>
      </c>
      <c r="Y3" s="4" t="inlineStr">
        <is>
          <t>Reach 2</t>
        </is>
      </c>
      <c r="Z3" s="11" t="n"/>
    </row>
    <row r="4">
      <c r="A4" s="5" t="n">
        <v>3</v>
      </c>
      <c r="B4" s="5" t="inlineStr">
        <is>
          <t>Terragosa</t>
        </is>
      </c>
      <c r="C4" s="5" t="inlineStr">
        <is>
          <t>03-earth-terragosa</t>
        </is>
      </c>
      <c r="D4" s="5" t="inlineStr">
        <is>
          <t>Arcane</t>
        </is>
      </c>
      <c r="E4" s="5" t="inlineStr">
        <is>
          <t>Earth</t>
        </is>
      </c>
      <c r="F4" s="5" t="inlineStr">
        <is>
          <t>Light</t>
        </is>
      </c>
      <c r="G4" s="7" t="inlineStr">
        <is>
          <t>Air</t>
        </is>
      </c>
      <c r="H4" s="7" t="inlineStr">
        <is>
          <t>Dark</t>
        </is>
      </c>
      <c r="I4" s="9" t="inlineStr">
        <is>
          <t>Tank</t>
        </is>
      </c>
      <c r="J4" s="9" t="n">
        <v>2</v>
      </c>
      <c r="K4" s="11" t="n">
        <v>25</v>
      </c>
      <c r="L4" s="11" t="n">
        <v>20</v>
      </c>
      <c r="M4" s="11" t="n">
        <v>20</v>
      </c>
      <c r="N4" s="11" t="n">
        <v>40</v>
      </c>
      <c r="O4" s="11" t="n">
        <v>15</v>
      </c>
      <c r="P4" s="11" t="n">
        <v>25</v>
      </c>
      <c r="Q4" s="11" t="n">
        <v>30</v>
      </c>
      <c r="R4" s="11" t="n">
        <v>25</v>
      </c>
      <c r="S4" s="11" t="n">
        <v>35</v>
      </c>
      <c r="T4" s="11" t="n">
        <v>40</v>
      </c>
      <c r="U4" s="4">
        <f>SUM(K4:T4)</f>
        <v/>
      </c>
      <c r="V4" s="5">
        <f>IF(COUNT(K4:T4)=0,"",IF(COUNT(K4:T4)&lt;10,"INCOMPLETE",IF(N(W4)=0,"",IF(U4=W4,"OK","OFF BY "&amp;TEXT(U4-W4,"+0;-0")))))</f>
        <v/>
      </c>
      <c r="W4" s="5">
        <f>IF(N($Z$2)+N($Z$3)=0,"",IF($J4=1,$Z$2,$Z$3))</f>
        <v/>
      </c>
      <c r="Y4" s="12" t="inlineStr">
        <is>
          <t>Blank = no target. Need not match; a shorter reach may earn more.</t>
        </is>
      </c>
    </row>
    <row r="5">
      <c r="A5" s="5" t="n">
        <v>4</v>
      </c>
      <c r="B5" s="5" t="inlineStr">
        <is>
          <t>Zephyrine</t>
        </is>
      </c>
      <c r="C5" s="5" t="inlineStr">
        <is>
          <t>04-air-zephyrine</t>
        </is>
      </c>
      <c r="D5" s="5" t="inlineStr">
        <is>
          <t>Arcane</t>
        </is>
      </c>
      <c r="E5" s="5" t="inlineStr">
        <is>
          <t>Air</t>
        </is>
      </c>
      <c r="F5" s="5" t="inlineStr">
        <is>
          <t>Light</t>
        </is>
      </c>
      <c r="G5" s="7" t="inlineStr">
        <is>
          <t>Earth</t>
        </is>
      </c>
      <c r="H5" s="7" t="inlineStr">
        <is>
          <t>Dark</t>
        </is>
      </c>
      <c r="I5" s="9" t="inlineStr">
        <is>
          <t>Striker</t>
        </is>
      </c>
      <c r="J5" s="9" t="n">
        <v>1</v>
      </c>
      <c r="K5" s="11" t="n">
        <v>45</v>
      </c>
      <c r="L5" s="11" t="n">
        <v>40</v>
      </c>
      <c r="M5" s="11" t="n">
        <v>25</v>
      </c>
      <c r="N5" s="11" t="n">
        <v>25</v>
      </c>
      <c r="O5" s="11" t="n">
        <v>15</v>
      </c>
      <c r="P5" s="11" t="n">
        <v>30</v>
      </c>
      <c r="Q5" s="11" t="n">
        <v>30</v>
      </c>
      <c r="R5" s="11" t="n">
        <v>30</v>
      </c>
      <c r="S5" s="11" t="n">
        <v>25</v>
      </c>
      <c r="T5" s="11" t="n">
        <v>35</v>
      </c>
      <c r="U5" s="4">
        <f>SUM(K5:T5)</f>
        <v/>
      </c>
      <c r="V5" s="5">
        <f>IF(COUNT(K5:T5)=0,"",IF(COUNT(K5:T5)&lt;10,"INCOMPLETE",IF(N(W5)=0,"",IF(U5=W5,"OK","OFF BY "&amp;TEXT(U5-W5,"+0;-0")))))</f>
        <v/>
      </c>
      <c r="W5" s="5">
        <f>IF(N($Z$2)+N($Z$3)=0,"",IF($J5=1,$Z$2,$Z$3))</f>
        <v/>
      </c>
    </row>
    <row r="6">
      <c r="A6" s="5" t="n">
        <v>5</v>
      </c>
      <c r="B6" s="5" t="inlineStr">
        <is>
          <t>Cirrolan</t>
        </is>
      </c>
      <c r="C6" s="5" t="inlineStr">
        <is>
          <t>05-air-cirrolan</t>
        </is>
      </c>
      <c r="D6" s="5" t="inlineStr">
        <is>
          <t>Arcane</t>
        </is>
      </c>
      <c r="E6" s="5" t="inlineStr">
        <is>
          <t>Air</t>
        </is>
      </c>
      <c r="F6" s="5" t="inlineStr">
        <is>
          <t>Water</t>
        </is>
      </c>
      <c r="G6" s="7" t="inlineStr">
        <is>
          <t>Earth</t>
        </is>
      </c>
      <c r="H6" s="7" t="inlineStr">
        <is>
          <t>Fire</t>
        </is>
      </c>
      <c r="I6" s="9" t="inlineStr">
        <is>
          <t>Buffer</t>
        </is>
      </c>
      <c r="J6" s="9" t="n">
        <v>2</v>
      </c>
      <c r="K6" s="11" t="n">
        <v>25</v>
      </c>
      <c r="L6" s="11" t="n">
        <v>35</v>
      </c>
      <c r="M6" s="11" t="n">
        <v>30</v>
      </c>
      <c r="N6" s="11" t="n">
        <v>25</v>
      </c>
      <c r="O6" s="11" t="n">
        <v>15</v>
      </c>
      <c r="P6" s="11" t="n">
        <v>15</v>
      </c>
      <c r="Q6" s="11" t="n">
        <v>40</v>
      </c>
      <c r="R6" s="11" t="n">
        <v>35</v>
      </c>
      <c r="S6" s="11" t="n">
        <v>40</v>
      </c>
      <c r="T6" s="11" t="n">
        <v>15</v>
      </c>
      <c r="U6" s="4">
        <f>SUM(K6:T6)</f>
        <v/>
      </c>
      <c r="V6" s="5">
        <f>IF(COUNT(K6:T6)=0,"",IF(COUNT(K6:T6)&lt;10,"INCOMPLETE",IF(N(W6)=0,"",IF(U6=W6,"OK","OFF BY "&amp;TEXT(U6-W6,"+0;-0")))))</f>
        <v/>
      </c>
      <c r="W6" s="5">
        <f>IF(N($Z$2)+N($Z$3)=0,"",IF($J6=1,$Z$2,$Z$3))</f>
        <v/>
      </c>
      <c r="Y6" s="6" t="inlineStr">
        <is>
          <t>SPREAD</t>
        </is>
      </c>
    </row>
    <row r="7">
      <c r="A7" s="5" t="n">
        <v>6</v>
      </c>
      <c r="B7" s="5" t="inlineStr">
        <is>
          <t>Vael</t>
        </is>
      </c>
      <c r="C7" s="5" t="inlineStr">
        <is>
          <t>06-air-vael</t>
        </is>
      </c>
      <c r="D7" s="5" t="inlineStr">
        <is>
          <t>Arcane</t>
        </is>
      </c>
      <c r="E7" s="5" t="inlineStr">
        <is>
          <t>Air</t>
        </is>
      </c>
      <c r="F7" s="5" t="inlineStr">
        <is>
          <t>Dark</t>
        </is>
      </c>
      <c r="G7" s="7" t="inlineStr">
        <is>
          <t>Earth</t>
        </is>
      </c>
      <c r="H7" s="7" t="inlineStr">
        <is>
          <t>Light</t>
        </is>
      </c>
      <c r="I7" s="9" t="inlineStr">
        <is>
          <t>Ranged</t>
        </is>
      </c>
      <c r="J7" s="9" t="n">
        <v>2</v>
      </c>
      <c r="K7" s="11" t="n">
        <v>25</v>
      </c>
      <c r="L7" s="11" t="n">
        <v>40</v>
      </c>
      <c r="M7" s="11" t="n">
        <v>20</v>
      </c>
      <c r="N7" s="11" t="n">
        <v>25</v>
      </c>
      <c r="O7" s="11" t="n">
        <v>15</v>
      </c>
      <c r="P7" s="11" t="n">
        <v>40</v>
      </c>
      <c r="Q7" s="11" t="n">
        <v>25</v>
      </c>
      <c r="R7" s="11" t="n">
        <v>25</v>
      </c>
      <c r="S7" s="11" t="n">
        <v>25</v>
      </c>
      <c r="T7" s="11" t="n">
        <v>35</v>
      </c>
      <c r="U7" s="4">
        <f>SUM(K7:T7)</f>
        <v/>
      </c>
      <c r="V7" s="5">
        <f>IF(COUNT(K7:T7)=0,"",IF(COUNT(K7:T7)&lt;10,"INCOMPLETE",IF(N(W7)=0,"",IF(U7=W7,"OK","OFF BY "&amp;TEXT(U7-W7,"+0;-0")))))</f>
        <v/>
      </c>
      <c r="W7" s="5">
        <f>IF(N($Z$2)+N($Z$3)=0,"",IF($J7=1,$Z$2,$Z$3))</f>
        <v/>
      </c>
      <c r="Y7" s="4" t="inlineStr">
        <is>
          <t>Group</t>
        </is>
      </c>
      <c r="Z7" s="4" t="inlineStr">
        <is>
          <t>Heroes</t>
        </is>
      </c>
      <c r="AA7" s="4" t="inlineStr">
        <is>
          <t>Avg TOTAL</t>
        </is>
      </c>
    </row>
    <row r="8">
      <c r="A8" s="5" t="n">
        <v>7</v>
      </c>
      <c r="B8" s="5" t="inlineStr">
        <is>
          <t>Ember Saelith</t>
        </is>
      </c>
      <c r="C8" s="5" t="inlineStr">
        <is>
          <t>07-fire-ember-saelith</t>
        </is>
      </c>
      <c r="D8" s="5" t="inlineStr">
        <is>
          <t>Arcane</t>
        </is>
      </c>
      <c r="E8" s="5" t="inlineStr">
        <is>
          <t>Fire</t>
        </is>
      </c>
      <c r="F8" s="5" t="inlineStr">
        <is>
          <t>Air</t>
        </is>
      </c>
      <c r="G8" s="7" t="inlineStr">
        <is>
          <t>Water</t>
        </is>
      </c>
      <c r="H8" s="7" t="inlineStr">
        <is>
          <t>Earth</t>
        </is>
      </c>
      <c r="I8" s="9" t="inlineStr">
        <is>
          <t>Striker</t>
        </is>
      </c>
      <c r="J8" s="9" t="n">
        <v>1</v>
      </c>
      <c r="K8" s="11" t="n">
        <v>45</v>
      </c>
      <c r="L8" s="11" t="n">
        <v>40</v>
      </c>
      <c r="M8" s="11" t="n">
        <v>30</v>
      </c>
      <c r="N8" s="11" t="n">
        <v>25</v>
      </c>
      <c r="O8" s="11" t="n">
        <v>15</v>
      </c>
      <c r="P8" s="11" t="n">
        <v>25</v>
      </c>
      <c r="Q8" s="11" t="n">
        <v>30</v>
      </c>
      <c r="R8" s="11" t="n">
        <v>30</v>
      </c>
      <c r="S8" s="11" t="n">
        <v>25</v>
      </c>
      <c r="T8" s="11" t="n">
        <v>35</v>
      </c>
      <c r="U8" s="4">
        <f>SUM(K8:T8)</f>
        <v/>
      </c>
      <c r="V8" s="5">
        <f>IF(COUNT(K8:T8)=0,"",IF(COUNT(K8:T8)&lt;10,"INCOMPLETE",IF(N(W8)=0,"",IF(U8=W8,"OK","OFF BY "&amp;TEXT(U8-W8,"+0;-0")))))</f>
        <v/>
      </c>
      <c r="W8" s="5">
        <f>IF(N($Z$2)+N($Z$3)=0,"",IF($J8=1,$Z$2,$Z$3))</f>
        <v/>
      </c>
      <c r="Y8" s="5" t="inlineStr">
        <is>
          <t>Reach 1</t>
        </is>
      </c>
      <c r="Z8" s="5">
        <f>COUNTIF(J2:J28,1)</f>
        <v/>
      </c>
      <c r="AA8" s="5">
        <f>IFERROR(ROUND(AVERAGEIF(J2:J28,1,U2:U28),1),"")</f>
        <v/>
      </c>
    </row>
    <row r="9">
      <c r="A9" s="5" t="n">
        <v>8</v>
      </c>
      <c r="B9" s="5" t="inlineStr">
        <is>
          <t>Pyrrhic</t>
        </is>
      </c>
      <c r="C9" s="5" t="inlineStr">
        <is>
          <t>08-fire-pyrrhic</t>
        </is>
      </c>
      <c r="D9" s="5" t="inlineStr">
        <is>
          <t>Arcane</t>
        </is>
      </c>
      <c r="E9" s="5" t="inlineStr">
        <is>
          <t>Fire</t>
        </is>
      </c>
      <c r="F9" s="5" t="inlineStr">
        <is>
          <t>Light</t>
        </is>
      </c>
      <c r="G9" s="7" t="inlineStr">
        <is>
          <t>Water</t>
        </is>
      </c>
      <c r="H9" s="7" t="inlineStr">
        <is>
          <t>Dark</t>
        </is>
      </c>
      <c r="I9" s="9" t="inlineStr">
        <is>
          <t>Ranged</t>
        </is>
      </c>
      <c r="J9" s="9" t="n">
        <v>2</v>
      </c>
      <c r="K9" s="11" t="n">
        <v>25</v>
      </c>
      <c r="L9" s="11" t="n">
        <v>40</v>
      </c>
      <c r="M9" s="11" t="n">
        <v>20</v>
      </c>
      <c r="N9" s="11" t="n">
        <v>25</v>
      </c>
      <c r="O9" s="11" t="n">
        <v>15</v>
      </c>
      <c r="P9" s="11" t="n">
        <v>40</v>
      </c>
      <c r="Q9" s="11" t="n">
        <v>25</v>
      </c>
      <c r="R9" s="11" t="n">
        <v>25</v>
      </c>
      <c r="S9" s="11" t="n">
        <v>25</v>
      </c>
      <c r="T9" s="11" t="n">
        <v>35</v>
      </c>
      <c r="U9" s="4">
        <f>SUM(K9:T9)</f>
        <v/>
      </c>
      <c r="V9" s="5">
        <f>IF(COUNT(K9:T9)=0,"",IF(COUNT(K9:T9)&lt;10,"INCOMPLETE",IF(N(W9)=0,"",IF(U9=W9,"OK","OFF BY "&amp;TEXT(U9-W9,"+0;-0")))))</f>
        <v/>
      </c>
      <c r="W9" s="5">
        <f>IF(N($Z$2)+N($Z$3)=0,"",IF($J9=1,$Z$2,$Z$3))</f>
        <v/>
      </c>
      <c r="Y9" s="5" t="inlineStr">
        <is>
          <t>Reach 2</t>
        </is>
      </c>
      <c r="Z9" s="5">
        <f>COUNTIF(J2:J28,2)</f>
        <v/>
      </c>
      <c r="AA9" s="5">
        <f>IFERROR(ROUND(AVERAGEIF(J2:J28,2,U2:U28),1),"")</f>
        <v/>
      </c>
    </row>
    <row r="10">
      <c r="A10" s="5" t="n">
        <v>9</v>
      </c>
      <c r="B10" s="5" t="inlineStr">
        <is>
          <t>Cindara</t>
        </is>
      </c>
      <c r="C10" s="5" t="inlineStr">
        <is>
          <t>09-fire-cindara</t>
        </is>
      </c>
      <c r="D10" s="5" t="inlineStr">
        <is>
          <t>Arcane</t>
        </is>
      </c>
      <c r="E10" s="5" t="inlineStr">
        <is>
          <t>Fire</t>
        </is>
      </c>
      <c r="F10" s="5" t="inlineStr">
        <is>
          <t>Earth</t>
        </is>
      </c>
      <c r="G10" s="7" t="inlineStr">
        <is>
          <t>Water</t>
        </is>
      </c>
      <c r="H10" s="7" t="inlineStr">
        <is>
          <t>Air</t>
        </is>
      </c>
      <c r="I10" s="9" t="inlineStr">
        <is>
          <t>Ranged</t>
        </is>
      </c>
      <c r="J10" s="9" t="n">
        <v>2</v>
      </c>
      <c r="K10" s="11" t="n">
        <v>25</v>
      </c>
      <c r="L10" s="11" t="n">
        <v>40</v>
      </c>
      <c r="M10" s="11" t="n">
        <v>20</v>
      </c>
      <c r="N10" s="11" t="n">
        <v>25</v>
      </c>
      <c r="O10" s="11" t="n">
        <v>15</v>
      </c>
      <c r="P10" s="11" t="n">
        <v>40</v>
      </c>
      <c r="Q10" s="11" t="n">
        <v>25</v>
      </c>
      <c r="R10" s="11" t="n">
        <v>25</v>
      </c>
      <c r="S10" s="11" t="n">
        <v>25</v>
      </c>
      <c r="T10" s="11" t="n">
        <v>35</v>
      </c>
      <c r="U10" s="4">
        <f>SUM(K10:T10)</f>
        <v/>
      </c>
      <c r="V10" s="5">
        <f>IF(COUNT(K10:T10)=0,"",IF(COUNT(K10:T10)&lt;10,"INCOMPLETE",IF(N(W10)=0,"",IF(U10=W10,"OK","OFF BY "&amp;TEXT(U10-W10,"+0;-0")))))</f>
        <v/>
      </c>
      <c r="W10" s="5">
        <f>IF(N($Z$2)+N($Z$3)=0,"",IF($J10=1,$Z$2,$Z$3))</f>
        <v/>
      </c>
      <c r="Y10" s="5" t="inlineStr">
        <is>
          <t>All</t>
        </is>
      </c>
      <c r="Z10" s="5">
        <f>COUNT(J2:J28)</f>
        <v/>
      </c>
      <c r="AA10" s="5">
        <f>IFERROR(ROUND(AVERAGE(U2:U28),1),"")</f>
        <v/>
      </c>
    </row>
    <row r="11">
      <c r="A11" s="5" t="n">
        <v>10</v>
      </c>
      <c r="B11" s="5" t="inlineStr">
        <is>
          <t>Marisel</t>
        </is>
      </c>
      <c r="C11" s="5" t="inlineStr">
        <is>
          <t>10-water-marisel</t>
        </is>
      </c>
      <c r="D11" s="5" t="inlineStr">
        <is>
          <t>Arcane</t>
        </is>
      </c>
      <c r="E11" s="5" t="inlineStr">
        <is>
          <t>Water</t>
        </is>
      </c>
      <c r="F11" s="5" t="inlineStr">
        <is>
          <t>Dark</t>
        </is>
      </c>
      <c r="G11" s="7" t="inlineStr">
        <is>
          <t>Fire</t>
        </is>
      </c>
      <c r="H11" s="7" t="inlineStr">
        <is>
          <t>Light</t>
        </is>
      </c>
      <c r="I11" s="9" t="inlineStr">
        <is>
          <t>Striker</t>
        </is>
      </c>
      <c r="J11" s="9" t="n">
        <v>1</v>
      </c>
      <c r="K11" s="11" t="n">
        <v>45</v>
      </c>
      <c r="L11" s="11" t="n">
        <v>40</v>
      </c>
      <c r="M11" s="11" t="n">
        <v>25</v>
      </c>
      <c r="N11" s="11" t="n">
        <v>25</v>
      </c>
      <c r="O11" s="11" t="n">
        <v>15</v>
      </c>
      <c r="P11" s="11" t="n">
        <v>30</v>
      </c>
      <c r="Q11" s="11" t="n">
        <v>30</v>
      </c>
      <c r="R11" s="11" t="n">
        <v>30</v>
      </c>
      <c r="S11" s="11" t="n">
        <v>25</v>
      </c>
      <c r="T11" s="11" t="n">
        <v>35</v>
      </c>
      <c r="U11" s="4">
        <f>SUM(K11:T11)</f>
        <v/>
      </c>
      <c r="V11" s="5">
        <f>IF(COUNT(K11:T11)=0,"",IF(COUNT(K11:T11)&lt;10,"INCOMPLETE",IF(N(W11)=0,"",IF(U11=W11,"OK","OFF BY "&amp;TEXT(U11-W11,"+0;-0")))))</f>
        <v/>
      </c>
      <c r="W11" s="5">
        <f>IF(N($Z$2)+N($Z$3)=0,"",IF($J11=1,$Z$2,$Z$3))</f>
        <v/>
      </c>
    </row>
    <row r="12">
      <c r="A12" s="5" t="n">
        <v>11</v>
      </c>
      <c r="B12" s="5" t="inlineStr">
        <is>
          <t>Tidewarden Coll</t>
        </is>
      </c>
      <c r="C12" s="5" t="inlineStr">
        <is>
          <t>11-water-tidewarden-coll</t>
        </is>
      </c>
      <c r="D12" s="5" t="inlineStr">
        <is>
          <t>Arcane</t>
        </is>
      </c>
      <c r="E12" s="5" t="inlineStr">
        <is>
          <t>Water</t>
        </is>
      </c>
      <c r="F12" s="5" t="inlineStr">
        <is>
          <t>Earth</t>
        </is>
      </c>
      <c r="G12" s="7" t="inlineStr">
        <is>
          <t>Fire</t>
        </is>
      </c>
      <c r="H12" s="7" t="inlineStr">
        <is>
          <t>Air</t>
        </is>
      </c>
      <c r="I12" s="9" t="inlineStr">
        <is>
          <t>Ranged</t>
        </is>
      </c>
      <c r="J12" s="9" t="n">
        <v>2</v>
      </c>
      <c r="K12" s="11" t="n">
        <v>25</v>
      </c>
      <c r="L12" s="11" t="n">
        <v>40</v>
      </c>
      <c r="M12" s="11" t="n">
        <v>20</v>
      </c>
      <c r="N12" s="11" t="n">
        <v>25</v>
      </c>
      <c r="O12" s="11" t="n">
        <v>15</v>
      </c>
      <c r="P12" s="11" t="n">
        <v>40</v>
      </c>
      <c r="Q12" s="11" t="n">
        <v>25</v>
      </c>
      <c r="R12" s="11" t="n">
        <v>25</v>
      </c>
      <c r="S12" s="11" t="n">
        <v>25</v>
      </c>
      <c r="T12" s="11" t="n">
        <v>35</v>
      </c>
      <c r="U12" s="4">
        <f>SUM(K12:T12)</f>
        <v/>
      </c>
      <c r="V12" s="5">
        <f>IF(COUNT(K12:T12)=0,"",IF(COUNT(K12:T12)&lt;10,"INCOMPLETE",IF(N(W12)=0,"",IF(U12=W12,"OK","OFF BY "&amp;TEXT(U12-W12,"+0;-0")))))</f>
        <v/>
      </c>
      <c r="W12" s="5">
        <f>IF(N($Z$2)+N($Z$3)=0,"",IF($J12=1,$Z$2,$Z$3))</f>
        <v/>
      </c>
    </row>
    <row r="13">
      <c r="A13" s="5" t="n">
        <v>12</v>
      </c>
      <c r="B13" s="5" t="inlineStr">
        <is>
          <t>Nix</t>
        </is>
      </c>
      <c r="C13" s="5" t="inlineStr">
        <is>
          <t>12-water-nix</t>
        </is>
      </c>
      <c r="D13" s="5" t="inlineStr">
        <is>
          <t>Arcane</t>
        </is>
      </c>
      <c r="E13" s="5" t="inlineStr">
        <is>
          <t>Water</t>
        </is>
      </c>
      <c r="F13" s="5" t="inlineStr">
        <is>
          <t>Air</t>
        </is>
      </c>
      <c r="G13" s="7" t="inlineStr">
        <is>
          <t>Fire</t>
        </is>
      </c>
      <c r="H13" s="7" t="inlineStr">
        <is>
          <t>Earth</t>
        </is>
      </c>
      <c r="I13" s="9" t="inlineStr">
        <is>
          <t>Ranged</t>
        </is>
      </c>
      <c r="J13" s="9" t="n">
        <v>2</v>
      </c>
      <c r="K13" s="11" t="n">
        <v>25</v>
      </c>
      <c r="L13" s="11" t="n">
        <v>40</v>
      </c>
      <c r="M13" s="11" t="n">
        <v>20</v>
      </c>
      <c r="N13" s="11" t="n">
        <v>25</v>
      </c>
      <c r="O13" s="11" t="n">
        <v>15</v>
      </c>
      <c r="P13" s="11" t="n">
        <v>40</v>
      </c>
      <c r="Q13" s="11" t="n">
        <v>25</v>
      </c>
      <c r="R13" s="11" t="n">
        <v>25</v>
      </c>
      <c r="S13" s="11" t="n">
        <v>25</v>
      </c>
      <c r="T13" s="11" t="n">
        <v>35</v>
      </c>
      <c r="U13" s="4">
        <f>SUM(K13:T13)</f>
        <v/>
      </c>
      <c r="V13" s="5">
        <f>IF(COUNT(K13:T13)=0,"",IF(COUNT(K13:T13)&lt;10,"INCOMPLETE",IF(N(W13)=0,"",IF(U13=W13,"OK","OFF BY "&amp;TEXT(U13-W13,"+0;-0")))))</f>
        <v/>
      </c>
      <c r="W13" s="5">
        <f>IF(N($Z$2)+N($Z$3)=0,"",IF($J13=1,$Z$2,$Z$3))</f>
        <v/>
      </c>
    </row>
    <row r="14">
      <c r="A14" s="5" t="n">
        <v>13</v>
      </c>
      <c r="B14" s="5" t="inlineStr">
        <is>
          <t>Seraphel</t>
        </is>
      </c>
      <c r="C14" s="5" t="inlineStr">
        <is>
          <t>13-light-seraphel</t>
        </is>
      </c>
      <c r="D14" s="5" t="inlineStr">
        <is>
          <t>Arcane</t>
        </is>
      </c>
      <c r="E14" s="5" t="inlineStr">
        <is>
          <t>Light</t>
        </is>
      </c>
      <c r="F14" s="5" t="inlineStr">
        <is>
          <t>Fire</t>
        </is>
      </c>
      <c r="G14" s="7" t="inlineStr">
        <is>
          <t>Dark</t>
        </is>
      </c>
      <c r="H14" s="7" t="inlineStr">
        <is>
          <t>Water</t>
        </is>
      </c>
      <c r="I14" s="9" t="inlineStr">
        <is>
          <t>Striker</t>
        </is>
      </c>
      <c r="J14" s="9" t="n">
        <v>1</v>
      </c>
      <c r="K14" s="11" t="n">
        <v>45</v>
      </c>
      <c r="L14" s="11" t="n">
        <v>40</v>
      </c>
      <c r="M14" s="11" t="n">
        <v>30</v>
      </c>
      <c r="N14" s="11" t="n">
        <v>25</v>
      </c>
      <c r="O14" s="11" t="n">
        <v>15</v>
      </c>
      <c r="P14" s="11" t="n">
        <v>25</v>
      </c>
      <c r="Q14" s="11" t="n">
        <v>30</v>
      </c>
      <c r="R14" s="11" t="n">
        <v>30</v>
      </c>
      <c r="S14" s="11" t="n">
        <v>25</v>
      </c>
      <c r="T14" s="11" t="n">
        <v>35</v>
      </c>
      <c r="U14" s="4">
        <f>SUM(K14:T14)</f>
        <v/>
      </c>
      <c r="V14" s="5">
        <f>IF(COUNT(K14:T14)=0,"",IF(COUNT(K14:T14)&lt;10,"INCOMPLETE",IF(N(W14)=0,"",IF(U14=W14,"OK","OFF BY "&amp;TEXT(U14-W14,"+0;-0")))))</f>
        <v/>
      </c>
      <c r="W14" s="5">
        <f>IF(N($Z$2)+N($Z$3)=0,"",IF($J14=1,$Z$2,$Z$3))</f>
        <v/>
      </c>
    </row>
    <row r="15">
      <c r="A15" s="5" t="n">
        <v>14</v>
      </c>
      <c r="B15" s="5" t="inlineStr">
        <is>
          <t>Lucen</t>
        </is>
      </c>
      <c r="C15" s="5" t="inlineStr">
        <is>
          <t>14-light-lucen</t>
        </is>
      </c>
      <c r="D15" s="5" t="inlineStr">
        <is>
          <t>Arcane</t>
        </is>
      </c>
      <c r="E15" s="5" t="inlineStr">
        <is>
          <t>Light</t>
        </is>
      </c>
      <c r="F15" s="5" t="inlineStr">
        <is>
          <t>Air</t>
        </is>
      </c>
      <c r="G15" s="7" t="inlineStr">
        <is>
          <t>Dark</t>
        </is>
      </c>
      <c r="H15" s="7" t="inlineStr">
        <is>
          <t>Earth</t>
        </is>
      </c>
      <c r="I15" s="9" t="inlineStr">
        <is>
          <t>Buffer</t>
        </is>
      </c>
      <c r="J15" s="9" t="n">
        <v>2</v>
      </c>
      <c r="K15" s="11" t="n">
        <v>25</v>
      </c>
      <c r="L15" s="11" t="n">
        <v>35</v>
      </c>
      <c r="M15" s="11" t="n">
        <v>30</v>
      </c>
      <c r="N15" s="11" t="n">
        <v>25</v>
      </c>
      <c r="O15" s="11" t="n">
        <v>15</v>
      </c>
      <c r="P15" s="11" t="n">
        <v>15</v>
      </c>
      <c r="Q15" s="11" t="n">
        <v>40</v>
      </c>
      <c r="R15" s="11" t="n">
        <v>35</v>
      </c>
      <c r="S15" s="11" t="n">
        <v>40</v>
      </c>
      <c r="T15" s="11" t="n">
        <v>15</v>
      </c>
      <c r="U15" s="4">
        <f>SUM(K15:T15)</f>
        <v/>
      </c>
      <c r="V15" s="5">
        <f>IF(COUNT(K15:T15)=0,"",IF(COUNT(K15:T15)&lt;10,"INCOMPLETE",IF(N(W15)=0,"",IF(U15=W15,"OK","OFF BY "&amp;TEXT(U15-W15,"+0;-0")))))</f>
        <v/>
      </c>
      <c r="W15" s="5">
        <f>IF(N($Z$2)+N($Z$3)=0,"",IF($J15=1,$Z$2,$Z$3))</f>
        <v/>
      </c>
    </row>
    <row r="16">
      <c r="A16" s="5" t="n">
        <v>15</v>
      </c>
      <c r="B16" s="5" t="inlineStr">
        <is>
          <t>Auriel Dawnkeep</t>
        </is>
      </c>
      <c r="C16" s="5" t="inlineStr">
        <is>
          <t>15-light-auriel-dawnkeep</t>
        </is>
      </c>
      <c r="D16" s="5" t="inlineStr">
        <is>
          <t>Arcane</t>
        </is>
      </c>
      <c r="E16" s="5" t="inlineStr">
        <is>
          <t>Light</t>
        </is>
      </c>
      <c r="F16" s="5" t="inlineStr">
        <is>
          <t>Water</t>
        </is>
      </c>
      <c r="G16" s="7" t="inlineStr">
        <is>
          <t>Dark</t>
        </is>
      </c>
      <c r="H16" s="7" t="inlineStr">
        <is>
          <t>Fire</t>
        </is>
      </c>
      <c r="I16" s="9" t="inlineStr">
        <is>
          <t>Tank</t>
        </is>
      </c>
      <c r="J16" s="9" t="n">
        <v>2</v>
      </c>
      <c r="K16" s="11" t="n">
        <v>30</v>
      </c>
      <c r="L16" s="11" t="n">
        <v>20</v>
      </c>
      <c r="M16" s="11" t="n">
        <v>30</v>
      </c>
      <c r="N16" s="11" t="n">
        <v>40</v>
      </c>
      <c r="O16" s="11" t="n">
        <v>15</v>
      </c>
      <c r="P16" s="11" t="n">
        <v>25</v>
      </c>
      <c r="Q16" s="11" t="n">
        <v>30</v>
      </c>
      <c r="R16" s="11" t="n">
        <v>25</v>
      </c>
      <c r="S16" s="11" t="n">
        <v>35</v>
      </c>
      <c r="T16" s="11" t="n">
        <v>25</v>
      </c>
      <c r="U16" s="4">
        <f>SUM(K16:T16)</f>
        <v/>
      </c>
      <c r="V16" s="5">
        <f>IF(COUNT(K16:T16)=0,"",IF(COUNT(K16:T16)&lt;10,"INCOMPLETE",IF(N(W16)=0,"",IF(U16=W16,"OK","OFF BY "&amp;TEXT(U16-W16,"+0;-0")))))</f>
        <v/>
      </c>
      <c r="W16" s="5">
        <f>IF(N($Z$2)+N($Z$3)=0,"",IF($J16=1,$Z$2,$Z$3))</f>
        <v/>
      </c>
    </row>
    <row r="17">
      <c r="A17" s="5" t="n">
        <v>16</v>
      </c>
      <c r="B17" s="5" t="inlineStr">
        <is>
          <t>Nyxara</t>
        </is>
      </c>
      <c r="C17" s="5" t="inlineStr">
        <is>
          <t>16-dark-nyxara</t>
        </is>
      </c>
      <c r="D17" s="5" t="inlineStr">
        <is>
          <t>Arcane</t>
        </is>
      </c>
      <c r="E17" s="5" t="inlineStr">
        <is>
          <t>Dark</t>
        </is>
      </c>
      <c r="F17" s="5" t="inlineStr">
        <is>
          <t>Water</t>
        </is>
      </c>
      <c r="G17" s="7" t="inlineStr">
        <is>
          <t>Light</t>
        </is>
      </c>
      <c r="H17" s="7" t="inlineStr">
        <is>
          <t>Fire</t>
        </is>
      </c>
      <c r="I17" s="9" t="inlineStr">
        <is>
          <t>Striker</t>
        </is>
      </c>
      <c r="J17" s="9" t="n">
        <v>1</v>
      </c>
      <c r="K17" s="11" t="n">
        <v>45</v>
      </c>
      <c r="L17" s="11" t="n">
        <v>40</v>
      </c>
      <c r="M17" s="11" t="n">
        <v>25</v>
      </c>
      <c r="N17" s="11" t="n">
        <v>25</v>
      </c>
      <c r="O17" s="11" t="n">
        <v>15</v>
      </c>
      <c r="P17" s="11" t="n">
        <v>30</v>
      </c>
      <c r="Q17" s="11" t="n">
        <v>30</v>
      </c>
      <c r="R17" s="11" t="n">
        <v>30</v>
      </c>
      <c r="S17" s="11" t="n">
        <v>25</v>
      </c>
      <c r="T17" s="11" t="n">
        <v>35</v>
      </c>
      <c r="U17" s="4">
        <f>SUM(K17:T17)</f>
        <v/>
      </c>
      <c r="V17" s="5">
        <f>IF(COUNT(K17:T17)=0,"",IF(COUNT(K17:T17)&lt;10,"INCOMPLETE",IF(N(W17)=0,"",IF(U17=W17,"OK","OFF BY "&amp;TEXT(U17-W17,"+0;-0")))))</f>
        <v/>
      </c>
      <c r="W17" s="5">
        <f>IF(N($Z$2)+N($Z$3)=0,"",IF($J17=1,$Z$2,$Z$3))</f>
        <v/>
      </c>
    </row>
    <row r="18">
      <c r="A18" s="5" t="n">
        <v>17</v>
      </c>
      <c r="B18" s="5" t="inlineStr">
        <is>
          <t>Umbriel</t>
        </is>
      </c>
      <c r="C18" s="5" t="inlineStr">
        <is>
          <t>17-dark-umbriel</t>
        </is>
      </c>
      <c r="D18" s="5" t="inlineStr">
        <is>
          <t>Arcane</t>
        </is>
      </c>
      <c r="E18" s="5" t="inlineStr">
        <is>
          <t>Dark</t>
        </is>
      </c>
      <c r="F18" s="5" t="inlineStr">
        <is>
          <t>Fire</t>
        </is>
      </c>
      <c r="G18" s="7" t="inlineStr">
        <is>
          <t>Light</t>
        </is>
      </c>
      <c r="H18" s="7" t="inlineStr">
        <is>
          <t>Water</t>
        </is>
      </c>
      <c r="I18" s="9" t="inlineStr">
        <is>
          <t>Buffer</t>
        </is>
      </c>
      <c r="J18" s="9" t="n">
        <v>2</v>
      </c>
      <c r="K18" s="11" t="n">
        <v>25</v>
      </c>
      <c r="L18" s="11" t="n">
        <v>35</v>
      </c>
      <c r="M18" s="11" t="n">
        <v>30</v>
      </c>
      <c r="N18" s="11" t="n">
        <v>25</v>
      </c>
      <c r="O18" s="11" t="n">
        <v>15</v>
      </c>
      <c r="P18" s="11" t="n">
        <v>15</v>
      </c>
      <c r="Q18" s="11" t="n">
        <v>40</v>
      </c>
      <c r="R18" s="11" t="n">
        <v>35</v>
      </c>
      <c r="S18" s="11" t="n">
        <v>40</v>
      </c>
      <c r="T18" s="11" t="n">
        <v>15</v>
      </c>
      <c r="U18" s="4">
        <f>SUM(K18:T18)</f>
        <v/>
      </c>
      <c r="V18" s="5">
        <f>IF(COUNT(K18:T18)=0,"",IF(COUNT(K18:T18)&lt;10,"INCOMPLETE",IF(N(W18)=0,"",IF(U18=W18,"OK","OFF BY "&amp;TEXT(U18-W18,"+0;-0")))))</f>
        <v/>
      </c>
      <c r="W18" s="5">
        <f>IF(N($Z$2)+N($Z$3)=0,"",IF($J18=1,$Z$2,$Z$3))</f>
        <v/>
      </c>
    </row>
    <row r="19">
      <c r="A19" s="5" t="n">
        <v>18</v>
      </c>
      <c r="B19" s="5" t="inlineStr">
        <is>
          <t>Corvane</t>
        </is>
      </c>
      <c r="C19" s="5" t="inlineStr">
        <is>
          <t>18-dark-corvane</t>
        </is>
      </c>
      <c r="D19" s="5" t="inlineStr">
        <is>
          <t>Arcane</t>
        </is>
      </c>
      <c r="E19" s="5" t="inlineStr">
        <is>
          <t>Dark</t>
        </is>
      </c>
      <c r="F19" s="5" t="inlineStr">
        <is>
          <t>Earth</t>
        </is>
      </c>
      <c r="G19" s="7" t="inlineStr">
        <is>
          <t>Light</t>
        </is>
      </c>
      <c r="H19" s="7" t="inlineStr">
        <is>
          <t>Air</t>
        </is>
      </c>
      <c r="I19" s="9" t="inlineStr">
        <is>
          <t>Tank</t>
        </is>
      </c>
      <c r="J19" s="9" t="n">
        <v>2</v>
      </c>
      <c r="K19" s="11" t="n">
        <v>25</v>
      </c>
      <c r="L19" s="11" t="n">
        <v>20</v>
      </c>
      <c r="M19" s="11" t="n">
        <v>30</v>
      </c>
      <c r="N19" s="11" t="n">
        <v>40</v>
      </c>
      <c r="O19" s="11" t="n">
        <v>15</v>
      </c>
      <c r="P19" s="11" t="n">
        <v>25</v>
      </c>
      <c r="Q19" s="11" t="n">
        <v>30</v>
      </c>
      <c r="R19" s="11" t="n">
        <v>25</v>
      </c>
      <c r="S19" s="11" t="n">
        <v>35</v>
      </c>
      <c r="T19" s="11" t="n">
        <v>30</v>
      </c>
      <c r="U19" s="4">
        <f>SUM(K19:T19)</f>
        <v/>
      </c>
      <c r="V19" s="5">
        <f>IF(COUNT(K19:T19)=0,"",IF(COUNT(K19:T19)&lt;10,"INCOMPLETE",IF(N(W19)=0,"",IF(U19=W19,"OK","OFF BY "&amp;TEXT(U19-W19,"+0;-0")))))</f>
        <v/>
      </c>
      <c r="W19" s="5">
        <f>IF(N($Z$2)+N($Z$3)=0,"",IF($J19=1,$Z$2,$Z$3))</f>
        <v/>
      </c>
    </row>
    <row r="20">
      <c r="A20" s="5" t="n">
        <v>19</v>
      </c>
      <c r="B20" s="5" t="inlineStr">
        <is>
          <t>Kaellis</t>
        </is>
      </c>
      <c r="C20" s="5" t="inlineStr">
        <is>
          <t>19-slash-kaellis</t>
        </is>
      </c>
      <c r="D20" s="5" t="inlineStr">
        <is>
          <t>Martial</t>
        </is>
      </c>
      <c r="E20" s="5" t="inlineStr">
        <is>
          <t>Slash</t>
        </is>
      </c>
      <c r="F20" s="5" t="inlineStr">
        <is>
          <t>Light</t>
        </is>
      </c>
      <c r="G20" s="7" t="inlineStr">
        <is>
          <t>Crush</t>
        </is>
      </c>
      <c r="H20" s="7" t="inlineStr">
        <is>
          <t>Dark</t>
        </is>
      </c>
      <c r="I20" s="9" t="inlineStr">
        <is>
          <t>Striker</t>
        </is>
      </c>
      <c r="J20" s="9" t="n">
        <v>1</v>
      </c>
      <c r="K20" s="11" t="n">
        <v>40</v>
      </c>
      <c r="L20" s="11" t="n">
        <v>30</v>
      </c>
      <c r="M20" s="11" t="n">
        <v>30</v>
      </c>
      <c r="N20" s="11" t="n">
        <v>40</v>
      </c>
      <c r="O20" s="11" t="n">
        <v>40</v>
      </c>
      <c r="P20" s="11" t="n">
        <v>25</v>
      </c>
      <c r="Q20" s="11" t="n">
        <v>30</v>
      </c>
      <c r="R20" s="11" t="n">
        <v>15</v>
      </c>
      <c r="S20" s="11" t="n">
        <v>25</v>
      </c>
      <c r="T20" s="11" t="n">
        <v>25</v>
      </c>
      <c r="U20" s="4">
        <f>SUM(K20:T20)</f>
        <v/>
      </c>
      <c r="V20" s="5">
        <f>IF(COUNT(K20:T20)=0,"",IF(COUNT(K20:T20)&lt;10,"INCOMPLETE",IF(N(W20)=0,"",IF(U20=W20,"OK","OFF BY "&amp;TEXT(U20-W20,"+0;-0")))))</f>
        <v/>
      </c>
      <c r="W20" s="5">
        <f>IF(N($Z$2)+N($Z$3)=0,"",IF($J20=1,$Z$2,$Z$3))</f>
        <v/>
      </c>
    </row>
    <row r="21" ht="15.75" customHeight="1" s="13">
      <c r="A21" s="5" t="n">
        <v>20</v>
      </c>
      <c r="B21" s="5" t="inlineStr">
        <is>
          <t>Reyna Two-Rivers</t>
        </is>
      </c>
      <c r="C21" s="5" t="inlineStr">
        <is>
          <t>20-slash-reyna</t>
        </is>
      </c>
      <c r="D21" s="5" t="inlineStr">
        <is>
          <t>Martial</t>
        </is>
      </c>
      <c r="E21" s="5" t="inlineStr">
        <is>
          <t>Slash</t>
        </is>
      </c>
      <c r="F21" s="5" t="inlineStr">
        <is>
          <t>Water</t>
        </is>
      </c>
      <c r="G21" s="7" t="inlineStr">
        <is>
          <t>Crush</t>
        </is>
      </c>
      <c r="H21" s="7" t="inlineStr">
        <is>
          <t>Fire</t>
        </is>
      </c>
      <c r="I21" s="9" t="inlineStr">
        <is>
          <t>Striker</t>
        </is>
      </c>
      <c r="J21" s="9" t="n">
        <v>1</v>
      </c>
      <c r="K21" s="11" t="n">
        <v>40</v>
      </c>
      <c r="L21" s="11" t="n">
        <v>30</v>
      </c>
      <c r="M21" s="11" t="n">
        <v>25</v>
      </c>
      <c r="N21" s="11" t="n">
        <v>40</v>
      </c>
      <c r="O21" s="11" t="n">
        <v>40</v>
      </c>
      <c r="P21" s="11" t="n">
        <v>30</v>
      </c>
      <c r="Q21" s="11" t="n">
        <v>30</v>
      </c>
      <c r="R21" s="11" t="n">
        <v>15</v>
      </c>
      <c r="S21" s="11" t="n">
        <v>25</v>
      </c>
      <c r="T21" s="11" t="n">
        <v>25</v>
      </c>
      <c r="U21" s="4">
        <f>SUM(K21:T21)</f>
        <v/>
      </c>
      <c r="V21" s="5">
        <f>IF(COUNT(K21:T21)=0,"",IF(COUNT(K21:T21)&lt;10,"INCOMPLETE",IF(N(W21)=0,"",IF(U21=W21,"OK","OFF BY "&amp;TEXT(U21-W21,"+0;-0")))))</f>
        <v/>
      </c>
      <c r="W21" s="5">
        <f>IF(N($Z$2)+N($Z$3)=0,"",IF($J21=1,$Z$2,$Z$3))</f>
        <v/>
      </c>
    </row>
    <row r="22" ht="15.75" customHeight="1" s="13">
      <c r="A22" s="5" t="n">
        <v>21</v>
      </c>
      <c r="B22" s="5" t="inlineStr">
        <is>
          <t>Grieve</t>
        </is>
      </c>
      <c r="C22" s="5" t="inlineStr">
        <is>
          <t>21-slash-grieve</t>
        </is>
      </c>
      <c r="D22" s="5" t="inlineStr">
        <is>
          <t>Martial</t>
        </is>
      </c>
      <c r="E22" s="5" t="inlineStr">
        <is>
          <t>Slash</t>
        </is>
      </c>
      <c r="F22" s="5" t="inlineStr">
        <is>
          <t>Dark</t>
        </is>
      </c>
      <c r="G22" s="7" t="inlineStr">
        <is>
          <t>Crush</t>
        </is>
      </c>
      <c r="H22" s="7" t="inlineStr">
        <is>
          <t>Light</t>
        </is>
      </c>
      <c r="I22" s="9" t="inlineStr">
        <is>
          <t>Tank</t>
        </is>
      </c>
      <c r="J22" s="9" t="n">
        <v>2</v>
      </c>
      <c r="K22" s="11" t="n">
        <v>25</v>
      </c>
      <c r="L22" s="11" t="n">
        <v>20</v>
      </c>
      <c r="M22" s="11" t="n">
        <v>35</v>
      </c>
      <c r="N22" s="11" t="n">
        <v>40</v>
      </c>
      <c r="O22" s="11" t="n">
        <v>40</v>
      </c>
      <c r="P22" s="11" t="n">
        <v>25</v>
      </c>
      <c r="Q22" s="11" t="n">
        <v>30</v>
      </c>
      <c r="R22" s="11" t="n">
        <v>25</v>
      </c>
      <c r="S22" s="11" t="n">
        <v>35</v>
      </c>
      <c r="T22" s="11" t="n">
        <v>25</v>
      </c>
      <c r="U22" s="4">
        <f>SUM(K22:T22)</f>
        <v/>
      </c>
      <c r="V22" s="5">
        <f>IF(COUNT(K22:T22)=0,"",IF(COUNT(K22:T22)&lt;10,"INCOMPLETE",IF(N(W22)=0,"",IF(U22=W22,"OK","OFF BY "&amp;TEXT(U22-W22,"+0;-0")))))</f>
        <v/>
      </c>
      <c r="W22" s="5">
        <f>IF(N($Z$2)+N($Z$3)=0,"",IF($J22=1,$Z$2,$Z$3))</f>
        <v/>
      </c>
    </row>
    <row r="23" ht="15.75" customHeight="1" s="13">
      <c r="A23" s="5" t="n">
        <v>22</v>
      </c>
      <c r="B23" s="5" t="inlineStr">
        <is>
          <t>Vantric</t>
        </is>
      </c>
      <c r="C23" s="5" t="inlineStr">
        <is>
          <t>22-pierce-vantric</t>
        </is>
      </c>
      <c r="D23" s="5" t="inlineStr">
        <is>
          <t>Martial</t>
        </is>
      </c>
      <c r="E23" s="5" t="inlineStr">
        <is>
          <t>Pierce</t>
        </is>
      </c>
      <c r="F23" s="5" t="inlineStr">
        <is>
          <t>Air</t>
        </is>
      </c>
      <c r="G23" s="7" t="inlineStr">
        <is>
          <t>Slash</t>
        </is>
      </c>
      <c r="H23" s="7" t="inlineStr">
        <is>
          <t>Earth</t>
        </is>
      </c>
      <c r="I23" s="9" t="inlineStr">
        <is>
          <t>Striker</t>
        </is>
      </c>
      <c r="J23" s="9" t="n">
        <v>1</v>
      </c>
      <c r="K23" s="11" t="n">
        <v>40</v>
      </c>
      <c r="L23" s="11" t="n">
        <v>30</v>
      </c>
      <c r="M23" s="11" t="n">
        <v>30</v>
      </c>
      <c r="N23" s="11" t="n">
        <v>40</v>
      </c>
      <c r="O23" s="11" t="n">
        <v>40</v>
      </c>
      <c r="P23" s="11" t="n">
        <v>25</v>
      </c>
      <c r="Q23" s="11" t="n">
        <v>30</v>
      </c>
      <c r="R23" s="11" t="n">
        <v>15</v>
      </c>
      <c r="S23" s="11" t="n">
        <v>25</v>
      </c>
      <c r="T23" s="11" t="n">
        <v>25</v>
      </c>
      <c r="U23" s="4">
        <f>SUM(K23:T23)</f>
        <v/>
      </c>
      <c r="V23" s="5">
        <f>IF(COUNT(K23:T23)=0,"",IF(COUNT(K23:T23)&lt;10,"INCOMPLETE",IF(N(W23)=0,"",IF(U23=W23,"OK","OFF BY "&amp;TEXT(U23-W23,"+0;-0")))))</f>
        <v/>
      </c>
      <c r="W23" s="5">
        <f>IF(N($Z$2)+N($Z$3)=0,"",IF($J23=1,$Z$2,$Z$3))</f>
        <v/>
      </c>
    </row>
    <row r="24" ht="15.75" customHeight="1" s="13">
      <c r="A24" s="5" t="n">
        <v>23</v>
      </c>
      <c r="B24" s="5" t="inlineStr">
        <is>
          <t>Silka Pinquick</t>
        </is>
      </c>
      <c r="C24" s="5" t="inlineStr">
        <is>
          <t>23-pierce-silka</t>
        </is>
      </c>
      <c r="D24" s="5" t="inlineStr">
        <is>
          <t>Martial</t>
        </is>
      </c>
      <c r="E24" s="5" t="inlineStr">
        <is>
          <t>Pierce</t>
        </is>
      </c>
      <c r="F24" s="5" t="inlineStr">
        <is>
          <t>Dark</t>
        </is>
      </c>
      <c r="G24" s="7" t="inlineStr">
        <is>
          <t>Slash</t>
        </is>
      </c>
      <c r="H24" s="7" t="inlineStr">
        <is>
          <t>Light</t>
        </is>
      </c>
      <c r="I24" s="9" t="inlineStr">
        <is>
          <t>Striker</t>
        </is>
      </c>
      <c r="J24" s="9" t="n">
        <v>1</v>
      </c>
      <c r="K24" s="11" t="n">
        <v>40</v>
      </c>
      <c r="L24" s="11" t="n">
        <v>30</v>
      </c>
      <c r="M24" s="11" t="n">
        <v>25</v>
      </c>
      <c r="N24" s="11" t="n">
        <v>40</v>
      </c>
      <c r="O24" s="11" t="n">
        <v>40</v>
      </c>
      <c r="P24" s="11" t="n">
        <v>30</v>
      </c>
      <c r="Q24" s="11" t="n">
        <v>30</v>
      </c>
      <c r="R24" s="11" t="n">
        <v>15</v>
      </c>
      <c r="S24" s="11" t="n">
        <v>25</v>
      </c>
      <c r="T24" s="11" t="n">
        <v>25</v>
      </c>
      <c r="U24" s="4">
        <f>SUM(K24:T24)</f>
        <v/>
      </c>
      <c r="V24" s="5">
        <f>IF(COUNT(K24:T24)=0,"",IF(COUNT(K24:T24)&lt;10,"INCOMPLETE",IF(N(W24)=0,"",IF(U24=W24,"OK","OFF BY "&amp;TEXT(U24-W24,"+0;-0")))))</f>
        <v/>
      </c>
      <c r="W24" s="5">
        <f>IF(N($Z$2)+N($Z$3)=0,"",IF($J24=1,$Z$2,$Z$3))</f>
        <v/>
      </c>
    </row>
    <row r="25" ht="15.75" customHeight="1" s="13">
      <c r="A25" s="5" t="n">
        <v>24</v>
      </c>
      <c r="B25" s="5" t="inlineStr">
        <is>
          <t>Lord Aiguille</t>
        </is>
      </c>
      <c r="C25" s="5" t="inlineStr">
        <is>
          <t>24-pierce-aiguille</t>
        </is>
      </c>
      <c r="D25" s="5" t="inlineStr">
        <is>
          <t>Martial</t>
        </is>
      </c>
      <c r="E25" s="5" t="inlineStr">
        <is>
          <t>Pierce</t>
        </is>
      </c>
      <c r="F25" s="5" t="inlineStr">
        <is>
          <t>Light</t>
        </is>
      </c>
      <c r="G25" s="7" t="inlineStr">
        <is>
          <t>Slash</t>
        </is>
      </c>
      <c r="H25" s="7" t="inlineStr">
        <is>
          <t>Dark</t>
        </is>
      </c>
      <c r="I25" s="9" t="inlineStr">
        <is>
          <t>Tank</t>
        </is>
      </c>
      <c r="J25" s="9" t="n">
        <v>2</v>
      </c>
      <c r="K25" s="11" t="n">
        <v>25</v>
      </c>
      <c r="L25" s="11" t="n">
        <v>20</v>
      </c>
      <c r="M25" s="11" t="n">
        <v>35</v>
      </c>
      <c r="N25" s="11" t="n">
        <v>40</v>
      </c>
      <c r="O25" s="11" t="n">
        <v>40</v>
      </c>
      <c r="P25" s="11" t="n">
        <v>25</v>
      </c>
      <c r="Q25" s="11" t="n">
        <v>30</v>
      </c>
      <c r="R25" s="11" t="n">
        <v>25</v>
      </c>
      <c r="S25" s="11" t="n">
        <v>35</v>
      </c>
      <c r="T25" s="11" t="n">
        <v>25</v>
      </c>
      <c r="U25" s="4">
        <f>SUM(K25:T25)</f>
        <v/>
      </c>
      <c r="V25" s="5">
        <f>IF(COUNT(K25:T25)=0,"",IF(COUNT(K25:T25)&lt;10,"INCOMPLETE",IF(N(W25)=0,"",IF(U25=W25,"OK","OFF BY "&amp;TEXT(U25-W25,"+0;-0")))))</f>
        <v/>
      </c>
      <c r="W25" s="5">
        <f>IF(N($Z$2)+N($Z$3)=0,"",IF($J25=1,$Z$2,$Z$3))</f>
        <v/>
      </c>
    </row>
    <row r="26" ht="15.75" customHeight="1" s="13">
      <c r="A26" s="5" t="n">
        <v>25</v>
      </c>
      <c r="B26" s="5" t="inlineStr">
        <is>
          <t>Boldrek</t>
        </is>
      </c>
      <c r="C26" s="5" t="inlineStr">
        <is>
          <t>25-crush-boldrek</t>
        </is>
      </c>
      <c r="D26" s="5" t="inlineStr">
        <is>
          <t>Martial</t>
        </is>
      </c>
      <c r="E26" s="5" t="inlineStr">
        <is>
          <t>Crush</t>
        </is>
      </c>
      <c r="F26" s="5" t="inlineStr">
        <is>
          <t>Light</t>
        </is>
      </c>
      <c r="G26" s="7" t="inlineStr">
        <is>
          <t>Pierce</t>
        </is>
      </c>
      <c r="H26" s="7" t="inlineStr">
        <is>
          <t>Dark</t>
        </is>
      </c>
      <c r="I26" s="9" t="inlineStr">
        <is>
          <t>Striker</t>
        </is>
      </c>
      <c r="J26" s="9" t="n">
        <v>1</v>
      </c>
      <c r="K26" s="11" t="n">
        <v>40</v>
      </c>
      <c r="L26" s="11" t="n">
        <v>30</v>
      </c>
      <c r="M26" s="11" t="n">
        <v>30</v>
      </c>
      <c r="N26" s="11" t="n">
        <v>40</v>
      </c>
      <c r="O26" s="11" t="n">
        <v>40</v>
      </c>
      <c r="P26" s="11" t="n">
        <v>25</v>
      </c>
      <c r="Q26" s="11" t="n">
        <v>30</v>
      </c>
      <c r="R26" s="11" t="n">
        <v>15</v>
      </c>
      <c r="S26" s="11" t="n">
        <v>25</v>
      </c>
      <c r="T26" s="11" t="n">
        <v>25</v>
      </c>
      <c r="U26" s="4">
        <f>SUM(K26:T26)</f>
        <v/>
      </c>
      <c r="V26" s="5">
        <f>IF(COUNT(K26:T26)=0,"",IF(COUNT(K26:T26)&lt;10,"INCOMPLETE",IF(N(W26)=0,"",IF(U26=W26,"OK","OFF BY "&amp;TEXT(U26-W26,"+0;-0")))))</f>
        <v/>
      </c>
      <c r="W26" s="5">
        <f>IF(N($Z$2)+N($Z$3)=0,"",IF($J26=1,$Z$2,$Z$3))</f>
        <v/>
      </c>
    </row>
    <row r="27" ht="15.75" customHeight="1" s="13">
      <c r="A27" s="5" t="n">
        <v>26</v>
      </c>
      <c r="B27" s="5" t="inlineStr">
        <is>
          <t>Hettamar Ironfall</t>
        </is>
      </c>
      <c r="C27" s="5" t="inlineStr">
        <is>
          <t>26-crush-hettamar</t>
        </is>
      </c>
      <c r="D27" s="5" t="inlineStr">
        <is>
          <t>Martial</t>
        </is>
      </c>
      <c r="E27" s="5" t="inlineStr">
        <is>
          <t>Crush</t>
        </is>
      </c>
      <c r="F27" s="5" t="inlineStr">
        <is>
          <t>Dark</t>
        </is>
      </c>
      <c r="G27" s="7" t="inlineStr">
        <is>
          <t>Pierce</t>
        </is>
      </c>
      <c r="H27" s="7" t="inlineStr">
        <is>
          <t>Light</t>
        </is>
      </c>
      <c r="I27" s="9" t="inlineStr">
        <is>
          <t>Striker</t>
        </is>
      </c>
      <c r="J27" s="9" t="n">
        <v>1</v>
      </c>
      <c r="K27" s="11" t="n">
        <v>40</v>
      </c>
      <c r="L27" s="11" t="n">
        <v>30</v>
      </c>
      <c r="M27" s="11" t="n">
        <v>25</v>
      </c>
      <c r="N27" s="11" t="n">
        <v>40</v>
      </c>
      <c r="O27" s="11" t="n">
        <v>40</v>
      </c>
      <c r="P27" s="11" t="n">
        <v>30</v>
      </c>
      <c r="Q27" s="11" t="n">
        <v>30</v>
      </c>
      <c r="R27" s="11" t="n">
        <v>15</v>
      </c>
      <c r="S27" s="11" t="n">
        <v>25</v>
      </c>
      <c r="T27" s="11" t="n">
        <v>25</v>
      </c>
      <c r="U27" s="4">
        <f>SUM(K27:T27)</f>
        <v/>
      </c>
      <c r="V27" s="5">
        <f>IF(COUNT(K27:T27)=0,"",IF(COUNT(K27:T27)&lt;10,"INCOMPLETE",IF(N(W27)=0,"",IF(U27=W27,"OK","OFF BY "&amp;TEXT(U27-W27,"+0;-0")))))</f>
        <v/>
      </c>
      <c r="W27" s="5">
        <f>IF(N($Z$2)+N($Z$3)=0,"",IF($J27=1,$Z$2,$Z$3))</f>
        <v/>
      </c>
    </row>
    <row r="28" ht="15.75" customHeight="1" s="13">
      <c r="A28" s="5" t="n">
        <v>27</v>
      </c>
      <c r="B28" s="5" t="inlineStr">
        <is>
          <t>Mauless</t>
        </is>
      </c>
      <c r="C28" s="5" t="inlineStr">
        <is>
          <t>27-crush-mauless</t>
        </is>
      </c>
      <c r="D28" s="5" t="inlineStr">
        <is>
          <t>Martial</t>
        </is>
      </c>
      <c r="E28" s="5" t="inlineStr">
        <is>
          <t>Crush</t>
        </is>
      </c>
      <c r="F28" s="5" t="inlineStr">
        <is>
          <t>Earth</t>
        </is>
      </c>
      <c r="G28" s="7" t="inlineStr">
        <is>
          <t>Pierce</t>
        </is>
      </c>
      <c r="H28" s="7" t="inlineStr">
        <is>
          <t>Air</t>
        </is>
      </c>
      <c r="I28" s="9" t="inlineStr">
        <is>
          <t>Tank</t>
        </is>
      </c>
      <c r="J28" s="9" t="n">
        <v>2</v>
      </c>
      <c r="K28" s="11" t="n">
        <v>25</v>
      </c>
      <c r="L28" s="11" t="n">
        <v>20</v>
      </c>
      <c r="M28" s="11" t="n">
        <v>35</v>
      </c>
      <c r="N28" s="11" t="n">
        <v>40</v>
      </c>
      <c r="O28" s="11" t="n">
        <v>40</v>
      </c>
      <c r="P28" s="11" t="n">
        <v>25</v>
      </c>
      <c r="Q28" s="11" t="n">
        <v>30</v>
      </c>
      <c r="R28" s="11" t="n">
        <v>25</v>
      </c>
      <c r="S28" s="11" t="n">
        <v>35</v>
      </c>
      <c r="T28" s="11" t="n">
        <v>25</v>
      </c>
      <c r="U28" s="4">
        <f>SUM(K28:T28)</f>
        <v/>
      </c>
      <c r="V28" s="5">
        <f>IF(COUNT(K28:T28)=0,"",IF(COUNT(K28:T28)&lt;10,"INCOMPLETE",IF(N(W28)=0,"",IF(U28=W28,"OK","OFF BY "&amp;TEXT(U28-W28,"+0;-0")))))</f>
        <v/>
      </c>
      <c r="W28" s="5">
        <f>IF(N($Z$2)+N($Z$3)=0,"",IF($J28=1,$Z$2,$Z$3))</f>
        <v/>
      </c>
    </row>
    <row r="29" ht="15.75" customHeight="1" s="13">
      <c r="I29" s="9" t="n"/>
      <c r="J29" s="9" t="n"/>
    </row>
    <row r="30" ht="15.75" customHeight="1" s="13">
      <c r="I30" s="9" t="n"/>
      <c r="J30" s="9" t="n"/>
    </row>
    <row r="31" ht="15.75" customHeight="1" s="13">
      <c r="I31" s="9" t="n"/>
      <c r="J31" s="9" t="n"/>
    </row>
    <row r="32" ht="15.75" customHeight="1" s="13">
      <c r="I32" s="9" t="n"/>
      <c r="J32" s="9" t="n"/>
    </row>
    <row r="33" ht="15.75" customHeight="1" s="13">
      <c r="I33" s="9" t="n"/>
      <c r="J33" s="9" t="n"/>
    </row>
    <row r="34" ht="15.75" customHeight="1" s="13">
      <c r="I34" s="9" t="n"/>
      <c r="J34" s="9" t="n"/>
    </row>
    <row r="35" ht="15.75" customHeight="1" s="13">
      <c r="I35" s="9" t="n"/>
      <c r="J35" s="9" t="n"/>
    </row>
    <row r="36" ht="15.75" customHeight="1" s="13">
      <c r="I36" s="9" t="n"/>
      <c r="J36" s="9" t="n"/>
    </row>
    <row r="37" ht="15.75" customHeight="1" s="13">
      <c r="I37" s="9" t="n"/>
      <c r="J37" s="9" t="n"/>
    </row>
    <row r="38" ht="15.75" customHeight="1" s="13">
      <c r="I38" s="9" t="n"/>
      <c r="J38" s="9" t="n"/>
    </row>
    <row r="39" ht="15.75" customHeight="1" s="13">
      <c r="I39" s="9" t="n"/>
      <c r="J39" s="9" t="n"/>
    </row>
    <row r="40" ht="15.75" customHeight="1" s="13">
      <c r="I40" s="9" t="n"/>
      <c r="J40" s="9" t="n"/>
    </row>
    <row r="41" ht="15.75" customHeight="1" s="13">
      <c r="I41" s="9" t="n"/>
      <c r="J41" s="9" t="n"/>
    </row>
    <row r="42" ht="15.75" customHeight="1" s="13">
      <c r="I42" s="9" t="n"/>
      <c r="J42" s="9" t="n"/>
    </row>
    <row r="43" ht="15.75" customHeight="1" s="13">
      <c r="I43" s="9" t="n"/>
      <c r="J43" s="9" t="n"/>
    </row>
    <row r="44" ht="15.75" customHeight="1" s="13">
      <c r="I44" s="9" t="n"/>
      <c r="J44" s="9" t="n"/>
    </row>
    <row r="45" ht="15.75" customHeight="1" s="13">
      <c r="I45" s="9" t="n"/>
      <c r="J45" s="9" t="n"/>
    </row>
    <row r="46" ht="15.75" customHeight="1" s="13">
      <c r="I46" s="9" t="n"/>
      <c r="J46" s="9" t="n"/>
    </row>
    <row r="47" ht="15.75" customHeight="1" s="13">
      <c r="I47" s="9" t="n"/>
      <c r="J47" s="9" t="n"/>
    </row>
    <row r="48" ht="15.75" customHeight="1" s="13">
      <c r="I48" s="9" t="n"/>
      <c r="J48" s="9" t="n"/>
    </row>
    <row r="49" ht="15.75" customHeight="1" s="13">
      <c r="I49" s="9" t="n"/>
      <c r="J49" s="9" t="n"/>
    </row>
    <row r="50" ht="15.75" customHeight="1" s="13">
      <c r="I50" s="9" t="n"/>
      <c r="J50" s="9" t="n"/>
    </row>
    <row r="51" ht="15.75" customHeight="1" s="13">
      <c r="I51" s="9" t="n"/>
      <c r="J51" s="9" t="n"/>
    </row>
    <row r="52" ht="15.75" customHeight="1" s="13">
      <c r="I52" s="9" t="n"/>
      <c r="J52" s="9" t="n"/>
    </row>
    <row r="53" ht="15.75" customHeight="1" s="13">
      <c r="I53" s="9" t="n"/>
      <c r="J53" s="9" t="n"/>
    </row>
    <row r="54" ht="15.75" customHeight="1" s="13">
      <c r="I54" s="9" t="n"/>
      <c r="J54" s="9" t="n"/>
    </row>
    <row r="55" ht="15.75" customHeight="1" s="13">
      <c r="I55" s="9" t="n"/>
      <c r="J55" s="9" t="n"/>
    </row>
    <row r="56" ht="15.75" customHeight="1" s="13">
      <c r="I56" s="9" t="n"/>
      <c r="J56" s="9" t="n"/>
    </row>
    <row r="57" ht="15.75" customHeight="1" s="13">
      <c r="I57" s="9" t="n"/>
      <c r="J57" s="9" t="n"/>
    </row>
    <row r="58" ht="15.75" customHeight="1" s="13">
      <c r="I58" s="9" t="n"/>
      <c r="J58" s="9" t="n"/>
    </row>
    <row r="59" ht="15.75" customHeight="1" s="13">
      <c r="I59" s="9" t="n"/>
      <c r="J59" s="9" t="n"/>
    </row>
    <row r="60" ht="15.75" customHeight="1" s="13">
      <c r="I60" s="9" t="n"/>
      <c r="J60" s="9" t="n"/>
    </row>
    <row r="61" ht="15.75" customHeight="1" s="13">
      <c r="I61" s="9" t="n"/>
      <c r="J61" s="9" t="n"/>
    </row>
    <row r="62" ht="15.75" customHeight="1" s="13">
      <c r="I62" s="9" t="n"/>
      <c r="J62" s="9" t="n"/>
    </row>
    <row r="63" ht="15.75" customHeight="1" s="13">
      <c r="I63" s="9" t="n"/>
      <c r="J63" s="9" t="n"/>
    </row>
    <row r="64" ht="15.75" customHeight="1" s="13">
      <c r="I64" s="9" t="n"/>
      <c r="J64" s="9" t="n"/>
    </row>
    <row r="65" ht="15.75" customHeight="1" s="13">
      <c r="I65" s="9" t="n"/>
      <c r="J65" s="9" t="n"/>
    </row>
    <row r="66" ht="15.75" customHeight="1" s="13">
      <c r="I66" s="9" t="n"/>
      <c r="J66" s="9" t="n"/>
    </row>
    <row r="67" ht="15.75" customHeight="1" s="13">
      <c r="I67" s="9" t="n"/>
      <c r="J67" s="9" t="n"/>
    </row>
    <row r="68" ht="15.75" customHeight="1" s="13">
      <c r="I68" s="9" t="n"/>
      <c r="J68" s="9" t="n"/>
    </row>
    <row r="69" ht="15.75" customHeight="1" s="13">
      <c r="I69" s="9" t="n"/>
      <c r="J69" s="9" t="n"/>
    </row>
    <row r="70" ht="15.75" customHeight="1" s="13">
      <c r="I70" s="9" t="n"/>
      <c r="J70" s="9" t="n"/>
    </row>
    <row r="71" ht="15.75" customHeight="1" s="13">
      <c r="I71" s="9" t="n"/>
      <c r="J71" s="9" t="n"/>
    </row>
    <row r="72" ht="15.75" customHeight="1" s="13">
      <c r="I72" s="9" t="n"/>
      <c r="J72" s="9" t="n"/>
    </row>
    <row r="73" ht="15.75" customHeight="1" s="13">
      <c r="I73" s="9" t="n"/>
      <c r="J73" s="9" t="n"/>
    </row>
    <row r="74" ht="15.75" customHeight="1" s="13">
      <c r="I74" s="9" t="n"/>
      <c r="J74" s="9" t="n"/>
    </row>
    <row r="75" ht="15.75" customHeight="1" s="13">
      <c r="I75" s="9" t="n"/>
      <c r="J75" s="9" t="n"/>
    </row>
    <row r="76" ht="15.75" customHeight="1" s="13">
      <c r="I76" s="9" t="n"/>
      <c r="J76" s="9" t="n"/>
    </row>
    <row r="77" ht="15.75" customHeight="1" s="13">
      <c r="I77" s="9" t="n"/>
      <c r="J77" s="9" t="n"/>
    </row>
    <row r="78" ht="15.75" customHeight="1" s="13">
      <c r="I78" s="9" t="n"/>
      <c r="J78" s="9" t="n"/>
    </row>
    <row r="79" ht="15.75" customHeight="1" s="13">
      <c r="I79" s="9" t="n"/>
      <c r="J79" s="9" t="n"/>
    </row>
    <row r="80" ht="15.75" customHeight="1" s="13">
      <c r="I80" s="9" t="n"/>
      <c r="J80" s="9" t="n"/>
    </row>
    <row r="81" ht="15.75" customHeight="1" s="13">
      <c r="I81" s="9" t="n"/>
      <c r="J81" s="9" t="n"/>
    </row>
    <row r="82" ht="15.75" customHeight="1" s="13">
      <c r="I82" s="9" t="n"/>
      <c r="J82" s="9" t="n"/>
    </row>
    <row r="83" ht="15.75" customHeight="1" s="13">
      <c r="I83" s="9" t="n"/>
      <c r="J83" s="9" t="n"/>
    </row>
    <row r="84" ht="15.75" customHeight="1" s="13">
      <c r="I84" s="9" t="n"/>
      <c r="J84" s="9" t="n"/>
    </row>
    <row r="85" ht="15.75" customHeight="1" s="13">
      <c r="I85" s="9" t="n"/>
      <c r="J85" s="9" t="n"/>
    </row>
    <row r="86" ht="15.75" customHeight="1" s="13">
      <c r="I86" s="9" t="n"/>
      <c r="J86" s="9" t="n"/>
    </row>
    <row r="87" ht="15.75" customHeight="1" s="13">
      <c r="I87" s="9" t="n"/>
      <c r="J87" s="9" t="n"/>
    </row>
    <row r="88" ht="15.75" customHeight="1" s="13">
      <c r="I88" s="9" t="n"/>
      <c r="J88" s="9" t="n"/>
    </row>
    <row r="89" ht="15.75" customHeight="1" s="13">
      <c r="I89" s="9" t="n"/>
      <c r="J89" s="9" t="n"/>
    </row>
    <row r="90" ht="15.75" customHeight="1" s="13">
      <c r="I90" s="9" t="n"/>
      <c r="J90" s="9" t="n"/>
    </row>
    <row r="91" ht="15.75" customHeight="1" s="13">
      <c r="I91" s="9" t="n"/>
      <c r="J91" s="9" t="n"/>
    </row>
    <row r="92" ht="15.75" customHeight="1" s="13">
      <c r="I92" s="9" t="n"/>
      <c r="J92" s="9" t="n"/>
    </row>
    <row r="93" ht="15.75" customHeight="1" s="13">
      <c r="I93" s="9" t="n"/>
      <c r="J93" s="9" t="n"/>
    </row>
    <row r="94" ht="15.75" customHeight="1" s="13">
      <c r="I94" s="9" t="n"/>
      <c r="J94" s="9" t="n"/>
    </row>
    <row r="95" ht="15.75" customHeight="1" s="13">
      <c r="I95" s="9" t="n"/>
      <c r="J95" s="9" t="n"/>
    </row>
    <row r="96" ht="15.75" customHeight="1" s="13">
      <c r="I96" s="9" t="n"/>
      <c r="J96" s="9" t="n"/>
    </row>
    <row r="97" ht="15.75" customHeight="1" s="13">
      <c r="I97" s="9" t="n"/>
      <c r="J97" s="9" t="n"/>
    </row>
    <row r="98" ht="15.75" customHeight="1" s="13">
      <c r="I98" s="9" t="n"/>
      <c r="J98" s="9" t="n"/>
    </row>
    <row r="99" ht="15.75" customHeight="1" s="13">
      <c r="I99" s="9" t="n"/>
      <c r="J99" s="9" t="n"/>
    </row>
    <row r="100" ht="15.75" customHeight="1" s="13">
      <c r="I100" s="9" t="n"/>
      <c r="J100" s="9" t="n"/>
    </row>
    <row r="101" ht="15.75" customHeight="1" s="13">
      <c r="I101" s="9" t="n"/>
      <c r="J101" s="9" t="n"/>
    </row>
    <row r="102" ht="15.75" customHeight="1" s="13">
      <c r="I102" s="9" t="n"/>
      <c r="J102" s="9" t="n"/>
    </row>
    <row r="103" ht="15.75" customHeight="1" s="13">
      <c r="I103" s="9" t="n"/>
      <c r="J103" s="9" t="n"/>
    </row>
    <row r="104" ht="15.75" customHeight="1" s="13">
      <c r="I104" s="9" t="n"/>
      <c r="J104" s="9" t="n"/>
    </row>
    <row r="105" ht="15.75" customHeight="1" s="13">
      <c r="I105" s="9" t="n"/>
      <c r="J105" s="9" t="n"/>
    </row>
    <row r="106" ht="15.75" customHeight="1" s="13">
      <c r="I106" s="9" t="n"/>
      <c r="J106" s="9" t="n"/>
    </row>
    <row r="107" ht="15.75" customHeight="1" s="13">
      <c r="I107" s="9" t="n"/>
      <c r="J107" s="9" t="n"/>
    </row>
    <row r="108" ht="15.75" customHeight="1" s="13">
      <c r="I108" s="9" t="n"/>
      <c r="J108" s="9" t="n"/>
    </row>
    <row r="109" ht="15.75" customHeight="1" s="13">
      <c r="I109" s="9" t="n"/>
      <c r="J109" s="9" t="n"/>
    </row>
    <row r="110" ht="15.75" customHeight="1" s="13">
      <c r="I110" s="9" t="n"/>
      <c r="J110" s="9" t="n"/>
    </row>
    <row r="111" ht="15.75" customHeight="1" s="13">
      <c r="I111" s="9" t="n"/>
      <c r="J111" s="9" t="n"/>
    </row>
    <row r="112" ht="15.75" customHeight="1" s="13">
      <c r="I112" s="9" t="n"/>
      <c r="J112" s="9" t="n"/>
    </row>
    <row r="113" ht="15.75" customHeight="1" s="13">
      <c r="I113" s="9" t="n"/>
      <c r="J113" s="9" t="n"/>
    </row>
    <row r="114" ht="15.75" customHeight="1" s="13">
      <c r="I114" s="9" t="n"/>
      <c r="J114" s="9" t="n"/>
    </row>
    <row r="115" ht="15.75" customHeight="1" s="13">
      <c r="I115" s="9" t="n"/>
      <c r="J115" s="9" t="n"/>
    </row>
    <row r="116" ht="15.75" customHeight="1" s="13">
      <c r="I116" s="9" t="n"/>
      <c r="J116" s="9" t="n"/>
    </row>
    <row r="117" ht="15.75" customHeight="1" s="13">
      <c r="I117" s="9" t="n"/>
      <c r="J117" s="9" t="n"/>
    </row>
    <row r="118" ht="15.75" customHeight="1" s="13">
      <c r="I118" s="9" t="n"/>
      <c r="J118" s="9" t="n"/>
    </row>
    <row r="119" ht="15.75" customHeight="1" s="13">
      <c r="I119" s="9" t="n"/>
      <c r="J119" s="9" t="n"/>
    </row>
    <row r="120" ht="15.75" customHeight="1" s="13">
      <c r="I120" s="9" t="n"/>
      <c r="J120" s="9" t="n"/>
    </row>
    <row r="121" ht="15.75" customHeight="1" s="13">
      <c r="I121" s="9" t="n"/>
      <c r="J121" s="9" t="n"/>
    </row>
    <row r="122" ht="15.75" customHeight="1" s="13">
      <c r="I122" s="9" t="n"/>
      <c r="J122" s="9" t="n"/>
    </row>
    <row r="123" ht="15.75" customHeight="1" s="13">
      <c r="I123" s="9" t="n"/>
      <c r="J123" s="9" t="n"/>
    </row>
    <row r="124" ht="15.75" customHeight="1" s="13">
      <c r="I124" s="9" t="n"/>
      <c r="J124" s="9" t="n"/>
    </row>
    <row r="125" ht="15.75" customHeight="1" s="13">
      <c r="I125" s="9" t="n"/>
      <c r="J125" s="9" t="n"/>
    </row>
    <row r="126" ht="15.75" customHeight="1" s="13">
      <c r="I126" s="9" t="n"/>
      <c r="J126" s="9" t="n"/>
    </row>
    <row r="127" ht="15.75" customHeight="1" s="13">
      <c r="I127" s="9" t="n"/>
      <c r="J127" s="9" t="n"/>
    </row>
    <row r="128" ht="15.75" customHeight="1" s="13">
      <c r="I128" s="9" t="n"/>
      <c r="J128" s="9" t="n"/>
    </row>
    <row r="129" ht="15.75" customHeight="1" s="13">
      <c r="I129" s="9" t="n"/>
      <c r="J129" s="9" t="n"/>
    </row>
    <row r="130" ht="15.75" customHeight="1" s="13">
      <c r="I130" s="9" t="n"/>
      <c r="J130" s="9" t="n"/>
    </row>
    <row r="131" ht="15.75" customHeight="1" s="13">
      <c r="I131" s="9" t="n"/>
      <c r="J131" s="9" t="n"/>
    </row>
    <row r="132" ht="15.75" customHeight="1" s="13">
      <c r="I132" s="9" t="n"/>
      <c r="J132" s="9" t="n"/>
    </row>
    <row r="133" ht="15.75" customHeight="1" s="13">
      <c r="I133" s="9" t="n"/>
      <c r="J133" s="9" t="n"/>
    </row>
    <row r="134" ht="15.75" customHeight="1" s="13">
      <c r="I134" s="9" t="n"/>
      <c r="J134" s="9" t="n"/>
    </row>
    <row r="135" ht="15.75" customHeight="1" s="13">
      <c r="I135" s="9" t="n"/>
      <c r="J135" s="9" t="n"/>
    </row>
    <row r="136" ht="15.75" customHeight="1" s="13">
      <c r="I136" s="9" t="n"/>
      <c r="J136" s="9" t="n"/>
    </row>
    <row r="137" ht="15.75" customHeight="1" s="13">
      <c r="I137" s="9" t="n"/>
      <c r="J137" s="9" t="n"/>
    </row>
    <row r="138" ht="15.75" customHeight="1" s="13">
      <c r="I138" s="9" t="n"/>
      <c r="J138" s="9" t="n"/>
    </row>
    <row r="139" ht="15.75" customHeight="1" s="13">
      <c r="I139" s="9" t="n"/>
      <c r="J139" s="9" t="n"/>
    </row>
    <row r="140" ht="15.75" customHeight="1" s="13">
      <c r="I140" s="9" t="n"/>
      <c r="J140" s="9" t="n"/>
    </row>
    <row r="141" ht="15.75" customHeight="1" s="13">
      <c r="I141" s="9" t="n"/>
      <c r="J141" s="9" t="n"/>
    </row>
    <row r="142" ht="15.75" customHeight="1" s="13">
      <c r="I142" s="9" t="n"/>
      <c r="J142" s="9" t="n"/>
    </row>
    <row r="143" ht="15.75" customHeight="1" s="13">
      <c r="I143" s="9" t="n"/>
      <c r="J143" s="9" t="n"/>
    </row>
    <row r="144" ht="15.75" customHeight="1" s="13">
      <c r="I144" s="9" t="n"/>
      <c r="J144" s="9" t="n"/>
    </row>
    <row r="145" ht="15.75" customHeight="1" s="13">
      <c r="I145" s="9" t="n"/>
      <c r="J145" s="9" t="n"/>
    </row>
    <row r="146" ht="15.75" customHeight="1" s="13">
      <c r="I146" s="9" t="n"/>
      <c r="J146" s="9" t="n"/>
    </row>
    <row r="147" ht="15.75" customHeight="1" s="13">
      <c r="I147" s="9" t="n"/>
      <c r="J147" s="9" t="n"/>
    </row>
    <row r="148" ht="15.75" customHeight="1" s="13">
      <c r="I148" s="9" t="n"/>
      <c r="J148" s="9" t="n"/>
    </row>
    <row r="149" ht="15.75" customHeight="1" s="13">
      <c r="I149" s="9" t="n"/>
      <c r="J149" s="9" t="n"/>
    </row>
    <row r="150" ht="15.75" customHeight="1" s="13">
      <c r="I150" s="9" t="n"/>
      <c r="J150" s="9" t="n"/>
    </row>
    <row r="151" ht="15.75" customHeight="1" s="13">
      <c r="I151" s="9" t="n"/>
      <c r="J151" s="9" t="n"/>
    </row>
    <row r="152" ht="15.75" customHeight="1" s="13">
      <c r="I152" s="9" t="n"/>
      <c r="J152" s="9" t="n"/>
    </row>
    <row r="153" ht="15.75" customHeight="1" s="13">
      <c r="I153" s="9" t="n"/>
      <c r="J153" s="9" t="n"/>
    </row>
    <row r="154" ht="15.75" customHeight="1" s="13">
      <c r="I154" s="9" t="n"/>
      <c r="J154" s="9" t="n"/>
    </row>
    <row r="155" ht="15.75" customHeight="1" s="13">
      <c r="I155" s="9" t="n"/>
      <c r="J155" s="9" t="n"/>
    </row>
    <row r="156" ht="15.75" customHeight="1" s="13">
      <c r="I156" s="9" t="n"/>
      <c r="J156" s="9" t="n"/>
    </row>
    <row r="157" ht="15.75" customHeight="1" s="13">
      <c r="I157" s="9" t="n"/>
      <c r="J157" s="9" t="n"/>
    </row>
    <row r="158" ht="15.75" customHeight="1" s="13">
      <c r="I158" s="9" t="n"/>
      <c r="J158" s="9" t="n"/>
    </row>
    <row r="159" ht="15.75" customHeight="1" s="13">
      <c r="I159" s="9" t="n"/>
      <c r="J159" s="9" t="n"/>
    </row>
    <row r="160" ht="15.75" customHeight="1" s="13">
      <c r="I160" s="9" t="n"/>
      <c r="J160" s="9" t="n"/>
    </row>
    <row r="161" ht="15.75" customHeight="1" s="13">
      <c r="I161" s="9" t="n"/>
      <c r="J161" s="9" t="n"/>
    </row>
    <row r="162" ht="15.75" customHeight="1" s="13">
      <c r="I162" s="9" t="n"/>
      <c r="J162" s="9" t="n"/>
    </row>
    <row r="163" ht="15.75" customHeight="1" s="13">
      <c r="I163" s="9" t="n"/>
      <c r="J163" s="9" t="n"/>
    </row>
    <row r="164" ht="15.75" customHeight="1" s="13">
      <c r="I164" s="9" t="n"/>
      <c r="J164" s="9" t="n"/>
    </row>
    <row r="165" ht="15.75" customHeight="1" s="13">
      <c r="I165" s="9" t="n"/>
      <c r="J165" s="9" t="n"/>
    </row>
    <row r="166" ht="15.75" customHeight="1" s="13">
      <c r="I166" s="9" t="n"/>
      <c r="J166" s="9" t="n"/>
    </row>
    <row r="167" ht="15.75" customHeight="1" s="13">
      <c r="I167" s="9" t="n"/>
      <c r="J167" s="9" t="n"/>
    </row>
    <row r="168" ht="15.75" customHeight="1" s="13">
      <c r="I168" s="9" t="n"/>
      <c r="J168" s="9" t="n"/>
    </row>
    <row r="169" ht="15.75" customHeight="1" s="13">
      <c r="I169" s="9" t="n"/>
      <c r="J169" s="9" t="n"/>
    </row>
    <row r="170" ht="15.75" customHeight="1" s="13">
      <c r="I170" s="9" t="n"/>
      <c r="J170" s="9" t="n"/>
    </row>
    <row r="171" ht="15.75" customHeight="1" s="13">
      <c r="I171" s="9" t="n"/>
      <c r="J171" s="9" t="n"/>
    </row>
    <row r="172" ht="15.75" customHeight="1" s="13">
      <c r="I172" s="9" t="n"/>
      <c r="J172" s="9" t="n"/>
    </row>
    <row r="173" ht="15.75" customHeight="1" s="13">
      <c r="I173" s="9" t="n"/>
      <c r="J173" s="9" t="n"/>
    </row>
    <row r="174" ht="15.75" customHeight="1" s="13">
      <c r="I174" s="9" t="n"/>
      <c r="J174" s="9" t="n"/>
    </row>
    <row r="175" ht="15.75" customHeight="1" s="13">
      <c r="I175" s="9" t="n"/>
      <c r="J175" s="9" t="n"/>
    </row>
    <row r="176" ht="15.75" customHeight="1" s="13">
      <c r="I176" s="9" t="n"/>
      <c r="J176" s="9" t="n"/>
    </row>
    <row r="177" ht="15.75" customHeight="1" s="13">
      <c r="I177" s="9" t="n"/>
      <c r="J177" s="9" t="n"/>
    </row>
    <row r="178" ht="15.75" customHeight="1" s="13">
      <c r="I178" s="9" t="n"/>
      <c r="J178" s="9" t="n"/>
    </row>
    <row r="179" ht="15.75" customHeight="1" s="13">
      <c r="I179" s="9" t="n"/>
      <c r="J179" s="9" t="n"/>
    </row>
    <row r="180" ht="15.75" customHeight="1" s="13">
      <c r="I180" s="9" t="n"/>
      <c r="J180" s="9" t="n"/>
    </row>
    <row r="181" ht="15.75" customHeight="1" s="13">
      <c r="I181" s="9" t="n"/>
      <c r="J181" s="9" t="n"/>
    </row>
    <row r="182" ht="15.75" customHeight="1" s="13">
      <c r="I182" s="9" t="n"/>
      <c r="J182" s="9" t="n"/>
    </row>
    <row r="183" ht="15.75" customHeight="1" s="13">
      <c r="I183" s="9" t="n"/>
      <c r="J183" s="9" t="n"/>
    </row>
    <row r="184" ht="15.75" customHeight="1" s="13">
      <c r="I184" s="9" t="n"/>
      <c r="J184" s="9" t="n"/>
    </row>
    <row r="185" ht="15.75" customHeight="1" s="13">
      <c r="I185" s="9" t="n"/>
      <c r="J185" s="9" t="n"/>
    </row>
    <row r="186" ht="15.75" customHeight="1" s="13">
      <c r="I186" s="9" t="n"/>
      <c r="J186" s="9" t="n"/>
    </row>
    <row r="187" ht="15.75" customHeight="1" s="13">
      <c r="I187" s="9" t="n"/>
      <c r="J187" s="9" t="n"/>
    </row>
    <row r="188" ht="15.75" customHeight="1" s="13">
      <c r="I188" s="9" t="n"/>
      <c r="J188" s="9" t="n"/>
    </row>
    <row r="189" ht="15.75" customHeight="1" s="13">
      <c r="I189" s="9" t="n"/>
      <c r="J189" s="9" t="n"/>
    </row>
    <row r="190" ht="15.75" customHeight="1" s="13">
      <c r="I190" s="9" t="n"/>
      <c r="J190" s="9" t="n"/>
    </row>
    <row r="191" ht="15.75" customHeight="1" s="13">
      <c r="I191" s="9" t="n"/>
      <c r="J191" s="9" t="n"/>
    </row>
    <row r="192" ht="15.75" customHeight="1" s="13">
      <c r="I192" s="9" t="n"/>
      <c r="J192" s="9" t="n"/>
    </row>
    <row r="193" ht="15.75" customHeight="1" s="13">
      <c r="I193" s="9" t="n"/>
      <c r="J193" s="9" t="n"/>
    </row>
    <row r="194" ht="15.75" customHeight="1" s="13">
      <c r="I194" s="9" t="n"/>
      <c r="J194" s="9" t="n"/>
    </row>
    <row r="195" ht="15.75" customHeight="1" s="13">
      <c r="I195" s="9" t="n"/>
      <c r="J195" s="9" t="n"/>
    </row>
    <row r="196" ht="15.75" customHeight="1" s="13">
      <c r="I196" s="9" t="n"/>
      <c r="J196" s="9" t="n"/>
    </row>
    <row r="197" ht="15.75" customHeight="1" s="13">
      <c r="I197" s="9" t="n"/>
      <c r="J197" s="9" t="n"/>
    </row>
    <row r="198" ht="15.75" customHeight="1" s="13">
      <c r="I198" s="9" t="n"/>
      <c r="J198" s="9" t="n"/>
    </row>
    <row r="199" ht="15.75" customHeight="1" s="13">
      <c r="I199" s="9" t="n"/>
      <c r="J199" s="9" t="n"/>
    </row>
    <row r="200" ht="15.75" customHeight="1" s="13">
      <c r="I200" s="9" t="n"/>
      <c r="J200" s="9" t="n"/>
    </row>
    <row r="201" ht="15.75" customHeight="1" s="13">
      <c r="I201" s="9" t="n"/>
      <c r="J201" s="9" t="n"/>
    </row>
    <row r="202" ht="15.75" customHeight="1" s="13">
      <c r="I202" s="9" t="n"/>
      <c r="J202" s="9" t="n"/>
    </row>
    <row r="203" ht="15.75" customHeight="1" s="13">
      <c r="I203" s="9" t="n"/>
      <c r="J203" s="9" t="n"/>
    </row>
    <row r="204" ht="15.75" customHeight="1" s="13">
      <c r="I204" s="9" t="n"/>
      <c r="J204" s="9" t="n"/>
    </row>
    <row r="205" ht="15.75" customHeight="1" s="13">
      <c r="I205" s="9" t="n"/>
      <c r="J205" s="9" t="n"/>
    </row>
    <row r="206" ht="15.75" customHeight="1" s="13">
      <c r="I206" s="9" t="n"/>
      <c r="J206" s="9" t="n"/>
    </row>
    <row r="207" ht="15.75" customHeight="1" s="13">
      <c r="I207" s="9" t="n"/>
      <c r="J207" s="9" t="n"/>
    </row>
    <row r="208" ht="15.75" customHeight="1" s="13">
      <c r="I208" s="9" t="n"/>
      <c r="J208" s="9" t="n"/>
    </row>
    <row r="209" ht="15.75" customHeight="1" s="13">
      <c r="I209" s="9" t="n"/>
      <c r="J209" s="9" t="n"/>
    </row>
    <row r="210" ht="15.75" customHeight="1" s="13">
      <c r="I210" s="9" t="n"/>
      <c r="J210" s="9" t="n"/>
    </row>
    <row r="211" ht="15.75" customHeight="1" s="13">
      <c r="I211" s="9" t="n"/>
      <c r="J211" s="9" t="n"/>
    </row>
    <row r="212" ht="15.75" customHeight="1" s="13">
      <c r="I212" s="9" t="n"/>
      <c r="J212" s="9" t="n"/>
    </row>
    <row r="213" ht="15.75" customHeight="1" s="13">
      <c r="I213" s="9" t="n"/>
      <c r="J213" s="9" t="n"/>
    </row>
    <row r="214" ht="15.75" customHeight="1" s="13">
      <c r="I214" s="9" t="n"/>
      <c r="J214" s="9" t="n"/>
    </row>
    <row r="215" ht="15.75" customHeight="1" s="13">
      <c r="I215" s="9" t="n"/>
      <c r="J215" s="9" t="n"/>
    </row>
    <row r="216" ht="15.75" customHeight="1" s="13">
      <c r="I216" s="9" t="n"/>
      <c r="J216" s="9" t="n"/>
    </row>
    <row r="217" ht="15.75" customHeight="1" s="13">
      <c r="I217" s="9" t="n"/>
      <c r="J217" s="9" t="n"/>
    </row>
    <row r="218" ht="15.75" customHeight="1" s="13">
      <c r="I218" s="9" t="n"/>
      <c r="J218" s="9" t="n"/>
    </row>
    <row r="219" ht="15.75" customHeight="1" s="13">
      <c r="I219" s="9" t="n"/>
      <c r="J219" s="9" t="n"/>
    </row>
    <row r="220" ht="15.75" customHeight="1" s="13">
      <c r="I220" s="9" t="n"/>
      <c r="J220" s="9" t="n"/>
    </row>
    <row r="221" ht="15.75" customHeight="1" s="13">
      <c r="I221" s="9" t="n"/>
      <c r="J221" s="9" t="n"/>
    </row>
    <row r="222" ht="15.75" customHeight="1" s="13">
      <c r="I222" s="9" t="n"/>
      <c r="J222" s="9" t="n"/>
    </row>
    <row r="223" ht="15.75" customHeight="1" s="13">
      <c r="I223" s="9" t="n"/>
      <c r="J223" s="9" t="n"/>
    </row>
    <row r="224" ht="15.75" customHeight="1" s="13">
      <c r="I224" s="9" t="n"/>
      <c r="J224" s="9" t="n"/>
    </row>
    <row r="225" ht="15.75" customHeight="1" s="13">
      <c r="I225" s="9" t="n"/>
      <c r="J225" s="9" t="n"/>
    </row>
    <row r="226" ht="15.75" customHeight="1" s="13">
      <c r="I226" s="9" t="n"/>
      <c r="J226" s="9" t="n"/>
    </row>
    <row r="227" ht="15.75" customHeight="1" s="13">
      <c r="I227" s="9" t="n"/>
      <c r="J227" s="9" t="n"/>
    </row>
    <row r="228" ht="15.75" customHeight="1" s="13">
      <c r="I228" s="9" t="n"/>
      <c r="J228" s="9" t="n"/>
    </row>
    <row r="229" ht="15.75" customHeight="1" s="13">
      <c r="I229" s="9" t="n"/>
      <c r="J229" s="9" t="n"/>
    </row>
    <row r="230" ht="15.75" customHeight="1" s="13">
      <c r="I230" s="9" t="n"/>
      <c r="J230" s="9" t="n"/>
    </row>
    <row r="231" ht="15.75" customHeight="1" s="13">
      <c r="I231" s="9" t="n"/>
      <c r="J231" s="9" t="n"/>
    </row>
    <row r="232" ht="15.75" customHeight="1" s="13">
      <c r="I232" s="9" t="n"/>
      <c r="J232" s="9" t="n"/>
    </row>
    <row r="233" ht="15.75" customHeight="1" s="13">
      <c r="I233" s="9" t="n"/>
      <c r="J233" s="9" t="n"/>
    </row>
    <row r="234" ht="15.75" customHeight="1" s="13">
      <c r="I234" s="9" t="n"/>
      <c r="J234" s="9" t="n"/>
    </row>
    <row r="235" ht="15.75" customHeight="1" s="13">
      <c r="I235" s="9" t="n"/>
      <c r="J235" s="9" t="n"/>
    </row>
    <row r="236" ht="15.75" customHeight="1" s="13">
      <c r="I236" s="9" t="n"/>
      <c r="J236" s="9" t="n"/>
    </row>
    <row r="237" ht="15.75" customHeight="1" s="13">
      <c r="I237" s="9" t="n"/>
      <c r="J237" s="9" t="n"/>
    </row>
    <row r="238" ht="15.75" customHeight="1" s="13">
      <c r="I238" s="9" t="n"/>
      <c r="J238" s="9" t="n"/>
    </row>
    <row r="239" ht="15.75" customHeight="1" s="13">
      <c r="I239" s="9" t="n"/>
      <c r="J239" s="9" t="n"/>
    </row>
    <row r="240" ht="15.75" customHeight="1" s="13">
      <c r="I240" s="9" t="n"/>
      <c r="J240" s="9" t="n"/>
    </row>
    <row r="241" ht="15.75" customHeight="1" s="13">
      <c r="I241" s="9" t="n"/>
      <c r="J241" s="9" t="n"/>
    </row>
    <row r="242" ht="15.75" customHeight="1" s="13">
      <c r="I242" s="9" t="n"/>
      <c r="J242" s="9" t="n"/>
    </row>
    <row r="243" ht="15.75" customHeight="1" s="13">
      <c r="I243" s="9" t="n"/>
      <c r="J243" s="9" t="n"/>
    </row>
    <row r="244" ht="15.75" customHeight="1" s="13">
      <c r="I244" s="9" t="n"/>
      <c r="J244" s="9" t="n"/>
    </row>
    <row r="245" ht="15.75" customHeight="1" s="13">
      <c r="I245" s="9" t="n"/>
      <c r="J245" s="9" t="n"/>
    </row>
    <row r="246" ht="15.75" customHeight="1" s="13">
      <c r="I246" s="9" t="n"/>
      <c r="J246" s="9" t="n"/>
    </row>
    <row r="247" ht="15.75" customHeight="1" s="13">
      <c r="I247" s="9" t="n"/>
      <c r="J247" s="9" t="n"/>
    </row>
    <row r="248" ht="15.75" customHeight="1" s="13">
      <c r="I248" s="9" t="n"/>
      <c r="J248" s="9" t="n"/>
    </row>
    <row r="249" ht="15.75" customHeight="1" s="13">
      <c r="I249" s="9" t="n"/>
      <c r="J249" s="9" t="n"/>
    </row>
    <row r="250" ht="15.75" customHeight="1" s="13">
      <c r="I250" s="9" t="n"/>
      <c r="J250" s="9" t="n"/>
    </row>
    <row r="251" ht="15.75" customHeight="1" s="13">
      <c r="I251" s="9" t="n"/>
      <c r="J251" s="9" t="n"/>
    </row>
    <row r="252" ht="15.75" customHeight="1" s="13">
      <c r="I252" s="9" t="n"/>
      <c r="J252" s="9" t="n"/>
    </row>
    <row r="253" ht="15.75" customHeight="1" s="13">
      <c r="I253" s="9" t="n"/>
      <c r="J253" s="9" t="n"/>
    </row>
    <row r="254" ht="15.75" customHeight="1" s="13">
      <c r="I254" s="9" t="n"/>
      <c r="J254" s="9" t="n"/>
    </row>
    <row r="255" ht="15.75" customHeight="1" s="13">
      <c r="I255" s="9" t="n"/>
      <c r="J255" s="9" t="n"/>
    </row>
    <row r="256" ht="15.75" customHeight="1" s="13">
      <c r="I256" s="9" t="n"/>
      <c r="J256" s="9" t="n"/>
    </row>
    <row r="257" ht="15.75" customHeight="1" s="13">
      <c r="I257" s="9" t="n"/>
      <c r="J257" s="9" t="n"/>
    </row>
    <row r="258" ht="15.75" customHeight="1" s="13">
      <c r="I258" s="9" t="n"/>
      <c r="J258" s="9" t="n"/>
    </row>
    <row r="259" ht="15.75" customHeight="1" s="13">
      <c r="I259" s="9" t="n"/>
      <c r="J259" s="9" t="n"/>
    </row>
    <row r="260" ht="15.75" customHeight="1" s="13">
      <c r="I260" s="9" t="n"/>
      <c r="J260" s="9" t="n"/>
    </row>
    <row r="261" ht="15.75" customHeight="1" s="13">
      <c r="I261" s="9" t="n"/>
      <c r="J261" s="9" t="n"/>
    </row>
    <row r="262" ht="15.75" customHeight="1" s="13">
      <c r="I262" s="9" t="n"/>
      <c r="J262" s="9" t="n"/>
    </row>
    <row r="263" ht="15.75" customHeight="1" s="13">
      <c r="I263" s="9" t="n"/>
      <c r="J263" s="9" t="n"/>
    </row>
    <row r="264" ht="15.75" customHeight="1" s="13">
      <c r="I264" s="9" t="n"/>
      <c r="J264" s="9" t="n"/>
    </row>
    <row r="265" ht="15.75" customHeight="1" s="13">
      <c r="I265" s="9" t="n"/>
      <c r="J265" s="9" t="n"/>
    </row>
    <row r="266" ht="15.75" customHeight="1" s="13">
      <c r="I266" s="9" t="n"/>
      <c r="J266" s="9" t="n"/>
    </row>
    <row r="267" ht="15.75" customHeight="1" s="13">
      <c r="I267" s="9" t="n"/>
      <c r="J267" s="9" t="n"/>
    </row>
    <row r="268" ht="15.75" customHeight="1" s="13">
      <c r="I268" s="9" t="n"/>
      <c r="J268" s="9" t="n"/>
    </row>
    <row r="269" ht="15.75" customHeight="1" s="13">
      <c r="I269" s="9" t="n"/>
      <c r="J269" s="9" t="n"/>
    </row>
    <row r="270" ht="15.75" customHeight="1" s="13">
      <c r="I270" s="9" t="n"/>
      <c r="J270" s="9" t="n"/>
    </row>
    <row r="271" ht="15.75" customHeight="1" s="13">
      <c r="I271" s="9" t="n"/>
      <c r="J271" s="9" t="n"/>
    </row>
    <row r="272" ht="15.75" customHeight="1" s="13">
      <c r="I272" s="9" t="n"/>
      <c r="J272" s="9" t="n"/>
    </row>
    <row r="273" ht="15.75" customHeight="1" s="13">
      <c r="I273" s="9" t="n"/>
      <c r="J273" s="9" t="n"/>
    </row>
    <row r="274" ht="15.75" customHeight="1" s="13">
      <c r="I274" s="9" t="n"/>
      <c r="J274" s="9" t="n"/>
    </row>
    <row r="275" ht="15.75" customHeight="1" s="13">
      <c r="I275" s="9" t="n"/>
      <c r="J275" s="9" t="n"/>
    </row>
    <row r="276" ht="15.75" customHeight="1" s="13">
      <c r="I276" s="9" t="n"/>
      <c r="J276" s="9" t="n"/>
    </row>
    <row r="277" ht="15.75" customHeight="1" s="13">
      <c r="I277" s="9" t="n"/>
      <c r="J277" s="9" t="n"/>
    </row>
    <row r="278" ht="15.75" customHeight="1" s="13">
      <c r="I278" s="9" t="n"/>
      <c r="J278" s="9" t="n"/>
    </row>
    <row r="279" ht="15.75" customHeight="1" s="13">
      <c r="I279" s="9" t="n"/>
      <c r="J279" s="9" t="n"/>
    </row>
    <row r="280" ht="15.75" customHeight="1" s="13">
      <c r="I280" s="9" t="n"/>
      <c r="J280" s="9" t="n"/>
    </row>
    <row r="281" ht="15.75" customHeight="1" s="13">
      <c r="I281" s="9" t="n"/>
      <c r="J281" s="9" t="n"/>
    </row>
    <row r="282" ht="15.75" customHeight="1" s="13">
      <c r="I282" s="9" t="n"/>
      <c r="J282" s="9" t="n"/>
    </row>
    <row r="283" ht="15.75" customHeight="1" s="13">
      <c r="I283" s="9" t="n"/>
      <c r="J283" s="9" t="n"/>
    </row>
    <row r="284" ht="15.75" customHeight="1" s="13">
      <c r="I284" s="9" t="n"/>
      <c r="J284" s="9" t="n"/>
    </row>
    <row r="285" ht="15.75" customHeight="1" s="13">
      <c r="I285" s="9" t="n"/>
      <c r="J285" s="9" t="n"/>
    </row>
    <row r="286" ht="15.75" customHeight="1" s="13">
      <c r="I286" s="9" t="n"/>
      <c r="J286" s="9" t="n"/>
    </row>
    <row r="287" ht="15.75" customHeight="1" s="13">
      <c r="I287" s="9" t="n"/>
      <c r="J287" s="9" t="n"/>
    </row>
    <row r="288" ht="15.75" customHeight="1" s="13">
      <c r="I288" s="9" t="n"/>
      <c r="J288" s="9" t="n"/>
    </row>
    <row r="289" ht="15.75" customHeight="1" s="13">
      <c r="I289" s="9" t="n"/>
      <c r="J289" s="9" t="n"/>
    </row>
    <row r="290" ht="15.75" customHeight="1" s="13">
      <c r="I290" s="9" t="n"/>
      <c r="J290" s="9" t="n"/>
    </row>
    <row r="291" ht="15.75" customHeight="1" s="13">
      <c r="I291" s="9" t="n"/>
      <c r="J291" s="9" t="n"/>
    </row>
    <row r="292" ht="15.75" customHeight="1" s="13">
      <c r="I292" s="9" t="n"/>
      <c r="J292" s="9" t="n"/>
    </row>
    <row r="293" ht="15.75" customHeight="1" s="13">
      <c r="I293" s="9" t="n"/>
      <c r="J293" s="9" t="n"/>
    </row>
    <row r="294" ht="15.75" customHeight="1" s="13">
      <c r="I294" s="9" t="n"/>
      <c r="J294" s="9" t="n"/>
    </row>
    <row r="295" ht="15.75" customHeight="1" s="13">
      <c r="I295" s="9" t="n"/>
      <c r="J295" s="9" t="n"/>
    </row>
    <row r="296" ht="15.75" customHeight="1" s="13">
      <c r="I296" s="9" t="n"/>
      <c r="J296" s="9" t="n"/>
    </row>
    <row r="297" ht="15.75" customHeight="1" s="13">
      <c r="I297" s="9" t="n"/>
      <c r="J297" s="9" t="n"/>
    </row>
    <row r="298" ht="15.75" customHeight="1" s="13">
      <c r="I298" s="9" t="n"/>
      <c r="J298" s="9" t="n"/>
    </row>
    <row r="299" ht="15.75" customHeight="1" s="13">
      <c r="I299" s="9" t="n"/>
      <c r="J299" s="9" t="n"/>
    </row>
    <row r="300" ht="15.75" customHeight="1" s="13">
      <c r="I300" s="9" t="n"/>
      <c r="J300" s="9" t="n"/>
    </row>
    <row r="301" ht="15.75" customHeight="1" s="13">
      <c r="I301" s="9" t="n"/>
      <c r="J301" s="9" t="n"/>
    </row>
    <row r="302" ht="15.75" customHeight="1" s="13">
      <c r="I302" s="9" t="n"/>
      <c r="J302" s="9" t="n"/>
    </row>
    <row r="303" ht="15.75" customHeight="1" s="13">
      <c r="I303" s="9" t="n"/>
      <c r="J303" s="9" t="n"/>
    </row>
    <row r="304" ht="15.75" customHeight="1" s="13">
      <c r="I304" s="9" t="n"/>
      <c r="J304" s="9" t="n"/>
    </row>
    <row r="305" ht="15.75" customHeight="1" s="13">
      <c r="I305" s="9" t="n"/>
      <c r="J305" s="9" t="n"/>
    </row>
    <row r="306" ht="15.75" customHeight="1" s="13">
      <c r="I306" s="9" t="n"/>
      <c r="J306" s="9" t="n"/>
    </row>
    <row r="307" ht="15.75" customHeight="1" s="13">
      <c r="I307" s="9" t="n"/>
      <c r="J307" s="9" t="n"/>
    </row>
    <row r="308" ht="15.75" customHeight="1" s="13">
      <c r="I308" s="9" t="n"/>
      <c r="J308" s="9" t="n"/>
    </row>
    <row r="309" ht="15.75" customHeight="1" s="13">
      <c r="I309" s="9" t="n"/>
      <c r="J309" s="9" t="n"/>
    </row>
    <row r="310" ht="15.75" customHeight="1" s="13">
      <c r="I310" s="9" t="n"/>
      <c r="J310" s="9" t="n"/>
    </row>
    <row r="311" ht="15.75" customHeight="1" s="13">
      <c r="I311" s="9" t="n"/>
      <c r="J311" s="9" t="n"/>
    </row>
    <row r="312" ht="15.75" customHeight="1" s="13">
      <c r="I312" s="9" t="n"/>
      <c r="J312" s="9" t="n"/>
    </row>
    <row r="313" ht="15.75" customHeight="1" s="13">
      <c r="I313" s="9" t="n"/>
      <c r="J313" s="9" t="n"/>
    </row>
    <row r="314" ht="15.75" customHeight="1" s="13">
      <c r="I314" s="9" t="n"/>
      <c r="J314" s="9" t="n"/>
    </row>
    <row r="315" ht="15.75" customHeight="1" s="13">
      <c r="I315" s="9" t="n"/>
      <c r="J315" s="9" t="n"/>
    </row>
    <row r="316" ht="15.75" customHeight="1" s="13">
      <c r="I316" s="9" t="n"/>
      <c r="J316" s="9" t="n"/>
    </row>
    <row r="317" ht="15.75" customHeight="1" s="13">
      <c r="I317" s="9" t="n"/>
      <c r="J317" s="9" t="n"/>
    </row>
    <row r="318" ht="15.75" customHeight="1" s="13">
      <c r="I318" s="9" t="n"/>
      <c r="J318" s="9" t="n"/>
    </row>
    <row r="319" ht="15.75" customHeight="1" s="13">
      <c r="I319" s="9" t="n"/>
      <c r="J319" s="9" t="n"/>
    </row>
    <row r="320" ht="15.75" customHeight="1" s="13">
      <c r="I320" s="9" t="n"/>
      <c r="J320" s="9" t="n"/>
    </row>
    <row r="321" ht="15.75" customHeight="1" s="13">
      <c r="I321" s="9" t="n"/>
      <c r="J321" s="9" t="n"/>
    </row>
    <row r="322" ht="15.75" customHeight="1" s="13">
      <c r="I322" s="9" t="n"/>
      <c r="J322" s="9" t="n"/>
    </row>
    <row r="323" ht="15.75" customHeight="1" s="13">
      <c r="I323" s="9" t="n"/>
      <c r="J323" s="9" t="n"/>
    </row>
    <row r="324" ht="15.75" customHeight="1" s="13">
      <c r="I324" s="9" t="n"/>
      <c r="J324" s="9" t="n"/>
    </row>
    <row r="325" ht="15.75" customHeight="1" s="13">
      <c r="I325" s="9" t="n"/>
      <c r="J325" s="9" t="n"/>
    </row>
    <row r="326" ht="15.75" customHeight="1" s="13">
      <c r="I326" s="9" t="n"/>
      <c r="J326" s="9" t="n"/>
    </row>
    <row r="327" ht="15.75" customHeight="1" s="13">
      <c r="I327" s="9" t="n"/>
      <c r="J327" s="9" t="n"/>
    </row>
    <row r="328" ht="15.75" customHeight="1" s="13">
      <c r="I328" s="9" t="n"/>
      <c r="J328" s="9" t="n"/>
    </row>
    <row r="329" ht="15.75" customHeight="1" s="13">
      <c r="I329" s="9" t="n"/>
      <c r="J329" s="9" t="n"/>
    </row>
    <row r="330" ht="15.75" customHeight="1" s="13">
      <c r="I330" s="9" t="n"/>
      <c r="J330" s="9" t="n"/>
    </row>
    <row r="331" ht="15.75" customHeight="1" s="13">
      <c r="I331" s="9" t="n"/>
      <c r="J331" s="9" t="n"/>
    </row>
    <row r="332" ht="15.75" customHeight="1" s="13">
      <c r="I332" s="9" t="n"/>
      <c r="J332" s="9" t="n"/>
    </row>
    <row r="333" ht="15.75" customHeight="1" s="13">
      <c r="I333" s="9" t="n"/>
      <c r="J333" s="9" t="n"/>
    </row>
    <row r="334" ht="15.75" customHeight="1" s="13">
      <c r="I334" s="9" t="n"/>
      <c r="J334" s="9" t="n"/>
    </row>
    <row r="335" ht="15.75" customHeight="1" s="13">
      <c r="I335" s="9" t="n"/>
      <c r="J335" s="9" t="n"/>
    </row>
    <row r="336" ht="15.75" customHeight="1" s="13">
      <c r="I336" s="9" t="n"/>
      <c r="J336" s="9" t="n"/>
    </row>
    <row r="337" ht="15.75" customHeight="1" s="13">
      <c r="I337" s="9" t="n"/>
      <c r="J337" s="9" t="n"/>
    </row>
    <row r="338" ht="15.75" customHeight="1" s="13">
      <c r="I338" s="9" t="n"/>
      <c r="J338" s="9" t="n"/>
    </row>
    <row r="339" ht="15.75" customHeight="1" s="13">
      <c r="I339" s="9" t="n"/>
      <c r="J339" s="9" t="n"/>
    </row>
    <row r="340" ht="15.75" customHeight="1" s="13">
      <c r="I340" s="9" t="n"/>
      <c r="J340" s="9" t="n"/>
    </row>
    <row r="341" ht="15.75" customHeight="1" s="13">
      <c r="I341" s="9" t="n"/>
      <c r="J341" s="9" t="n"/>
    </row>
    <row r="342" ht="15.75" customHeight="1" s="13">
      <c r="I342" s="9" t="n"/>
      <c r="J342" s="9" t="n"/>
    </row>
    <row r="343" ht="15.75" customHeight="1" s="13">
      <c r="I343" s="9" t="n"/>
      <c r="J343" s="9" t="n"/>
    </row>
    <row r="344" ht="15.75" customHeight="1" s="13">
      <c r="I344" s="9" t="n"/>
      <c r="J344" s="9" t="n"/>
    </row>
    <row r="345" ht="15.75" customHeight="1" s="13">
      <c r="I345" s="9" t="n"/>
      <c r="J345" s="9" t="n"/>
    </row>
    <row r="346" ht="15.75" customHeight="1" s="13">
      <c r="I346" s="9" t="n"/>
      <c r="J346" s="9" t="n"/>
    </row>
    <row r="347" ht="15.75" customHeight="1" s="13">
      <c r="I347" s="9" t="n"/>
      <c r="J347" s="9" t="n"/>
    </row>
    <row r="348" ht="15.75" customHeight="1" s="13">
      <c r="I348" s="9" t="n"/>
      <c r="J348" s="9" t="n"/>
    </row>
    <row r="349" ht="15.75" customHeight="1" s="13">
      <c r="I349" s="9" t="n"/>
      <c r="J349" s="9" t="n"/>
    </row>
    <row r="350" ht="15.75" customHeight="1" s="13">
      <c r="I350" s="9" t="n"/>
      <c r="J350" s="9" t="n"/>
    </row>
    <row r="351" ht="15.75" customHeight="1" s="13">
      <c r="I351" s="9" t="n"/>
      <c r="J351" s="9" t="n"/>
    </row>
    <row r="352" ht="15.75" customHeight="1" s="13">
      <c r="I352" s="9" t="n"/>
      <c r="J352" s="9" t="n"/>
    </row>
    <row r="353" ht="15.75" customHeight="1" s="13">
      <c r="I353" s="9" t="n"/>
      <c r="J353" s="9" t="n"/>
    </row>
    <row r="354" ht="15.75" customHeight="1" s="13">
      <c r="I354" s="9" t="n"/>
      <c r="J354" s="9" t="n"/>
    </row>
    <row r="355" ht="15.75" customHeight="1" s="13">
      <c r="I355" s="9" t="n"/>
      <c r="J355" s="9" t="n"/>
    </row>
    <row r="356" ht="15.75" customHeight="1" s="13">
      <c r="I356" s="9" t="n"/>
      <c r="J356" s="9" t="n"/>
    </row>
    <row r="357" ht="15.75" customHeight="1" s="13">
      <c r="I357" s="9" t="n"/>
      <c r="J357" s="9" t="n"/>
    </row>
    <row r="358" ht="15.75" customHeight="1" s="13">
      <c r="I358" s="9" t="n"/>
      <c r="J358" s="9" t="n"/>
    </row>
    <row r="359" ht="15.75" customHeight="1" s="13">
      <c r="I359" s="9" t="n"/>
      <c r="J359" s="9" t="n"/>
    </row>
    <row r="360" ht="15.75" customHeight="1" s="13">
      <c r="I360" s="9" t="n"/>
      <c r="J360" s="9" t="n"/>
    </row>
    <row r="361" ht="15.75" customHeight="1" s="13">
      <c r="I361" s="9" t="n"/>
      <c r="J361" s="9" t="n"/>
    </row>
    <row r="362" ht="15.75" customHeight="1" s="13">
      <c r="I362" s="9" t="n"/>
      <c r="J362" s="9" t="n"/>
    </row>
    <row r="363" ht="15.75" customHeight="1" s="13">
      <c r="I363" s="9" t="n"/>
      <c r="J363" s="9" t="n"/>
    </row>
    <row r="364" ht="15.75" customHeight="1" s="13">
      <c r="I364" s="9" t="n"/>
      <c r="J364" s="9" t="n"/>
    </row>
    <row r="365" ht="15.75" customHeight="1" s="13">
      <c r="I365" s="9" t="n"/>
      <c r="J365" s="9" t="n"/>
    </row>
    <row r="366" ht="15.75" customHeight="1" s="13">
      <c r="I366" s="9" t="n"/>
      <c r="J366" s="9" t="n"/>
    </row>
    <row r="367" ht="15.75" customHeight="1" s="13">
      <c r="I367" s="9" t="n"/>
      <c r="J367" s="9" t="n"/>
    </row>
    <row r="368" ht="15.75" customHeight="1" s="13">
      <c r="I368" s="9" t="n"/>
      <c r="J368" s="9" t="n"/>
    </row>
    <row r="369" ht="15.75" customHeight="1" s="13">
      <c r="I369" s="9" t="n"/>
      <c r="J369" s="9" t="n"/>
    </row>
    <row r="370" ht="15.75" customHeight="1" s="13">
      <c r="I370" s="9" t="n"/>
      <c r="J370" s="9" t="n"/>
    </row>
    <row r="371" ht="15.75" customHeight="1" s="13">
      <c r="I371" s="9" t="n"/>
      <c r="J371" s="9" t="n"/>
    </row>
    <row r="372" ht="15.75" customHeight="1" s="13">
      <c r="I372" s="9" t="n"/>
      <c r="J372" s="9" t="n"/>
    </row>
    <row r="373" ht="15.75" customHeight="1" s="13">
      <c r="I373" s="9" t="n"/>
      <c r="J373" s="9" t="n"/>
    </row>
    <row r="374" ht="15.75" customHeight="1" s="13">
      <c r="I374" s="9" t="n"/>
      <c r="J374" s="9" t="n"/>
    </row>
    <row r="375" ht="15.75" customHeight="1" s="13">
      <c r="I375" s="9" t="n"/>
      <c r="J375" s="9" t="n"/>
    </row>
    <row r="376" ht="15.75" customHeight="1" s="13">
      <c r="I376" s="9" t="n"/>
      <c r="J376" s="9" t="n"/>
    </row>
    <row r="377" ht="15.75" customHeight="1" s="13">
      <c r="I377" s="9" t="n"/>
      <c r="J377" s="9" t="n"/>
    </row>
    <row r="378" ht="15.75" customHeight="1" s="13">
      <c r="I378" s="9" t="n"/>
      <c r="J378" s="9" t="n"/>
    </row>
    <row r="379" ht="15.75" customHeight="1" s="13">
      <c r="I379" s="9" t="n"/>
      <c r="J379" s="9" t="n"/>
    </row>
    <row r="380" ht="15.75" customHeight="1" s="13">
      <c r="I380" s="9" t="n"/>
      <c r="J380" s="9" t="n"/>
    </row>
    <row r="381" ht="15.75" customHeight="1" s="13">
      <c r="I381" s="9" t="n"/>
      <c r="J381" s="9" t="n"/>
    </row>
    <row r="382" ht="15.75" customHeight="1" s="13">
      <c r="I382" s="9" t="n"/>
      <c r="J382" s="9" t="n"/>
    </row>
    <row r="383" ht="15.75" customHeight="1" s="13">
      <c r="I383" s="9" t="n"/>
      <c r="J383" s="9" t="n"/>
    </row>
    <row r="384" ht="15.75" customHeight="1" s="13">
      <c r="I384" s="9" t="n"/>
      <c r="J384" s="9" t="n"/>
    </row>
    <row r="385" ht="15.75" customHeight="1" s="13">
      <c r="I385" s="9" t="n"/>
      <c r="J385" s="9" t="n"/>
    </row>
    <row r="386" ht="15.75" customHeight="1" s="13">
      <c r="I386" s="9" t="n"/>
      <c r="J386" s="9" t="n"/>
    </row>
    <row r="387" ht="15.75" customHeight="1" s="13">
      <c r="I387" s="9" t="n"/>
      <c r="J387" s="9" t="n"/>
    </row>
    <row r="388" ht="15.75" customHeight="1" s="13">
      <c r="I388" s="9" t="n"/>
      <c r="J388" s="9" t="n"/>
    </row>
    <row r="389" ht="15.75" customHeight="1" s="13">
      <c r="I389" s="9" t="n"/>
      <c r="J389" s="9" t="n"/>
    </row>
    <row r="390" ht="15.75" customHeight="1" s="13">
      <c r="I390" s="9" t="n"/>
      <c r="J390" s="9" t="n"/>
    </row>
    <row r="391" ht="15.75" customHeight="1" s="13">
      <c r="I391" s="9" t="n"/>
      <c r="J391" s="9" t="n"/>
    </row>
    <row r="392" ht="15.75" customHeight="1" s="13">
      <c r="I392" s="9" t="n"/>
      <c r="J392" s="9" t="n"/>
    </row>
    <row r="393" ht="15.75" customHeight="1" s="13">
      <c r="I393" s="9" t="n"/>
      <c r="J393" s="9" t="n"/>
    </row>
    <row r="394" ht="15.75" customHeight="1" s="13">
      <c r="I394" s="9" t="n"/>
      <c r="J394" s="9" t="n"/>
    </row>
    <row r="395" ht="15.75" customHeight="1" s="13">
      <c r="I395" s="9" t="n"/>
      <c r="J395" s="9" t="n"/>
    </row>
    <row r="396" ht="15.75" customHeight="1" s="13">
      <c r="I396" s="9" t="n"/>
      <c r="J396" s="9" t="n"/>
    </row>
    <row r="397" ht="15.75" customHeight="1" s="13">
      <c r="I397" s="9" t="n"/>
      <c r="J397" s="9" t="n"/>
    </row>
    <row r="398" ht="15.75" customHeight="1" s="13">
      <c r="I398" s="9" t="n"/>
      <c r="J398" s="9" t="n"/>
    </row>
    <row r="399" ht="15.75" customHeight="1" s="13">
      <c r="I399" s="9" t="n"/>
      <c r="J399" s="9" t="n"/>
    </row>
    <row r="400" ht="15.75" customHeight="1" s="13">
      <c r="I400" s="9" t="n"/>
      <c r="J400" s="9" t="n"/>
    </row>
    <row r="401" ht="15.75" customHeight="1" s="13">
      <c r="I401" s="9" t="n"/>
      <c r="J401" s="9" t="n"/>
    </row>
    <row r="402" ht="15.75" customHeight="1" s="13">
      <c r="I402" s="9" t="n"/>
      <c r="J402" s="9" t="n"/>
    </row>
    <row r="403" ht="15.75" customHeight="1" s="13">
      <c r="I403" s="9" t="n"/>
      <c r="J403" s="9" t="n"/>
    </row>
    <row r="404" ht="15.75" customHeight="1" s="13">
      <c r="I404" s="9" t="n"/>
      <c r="J404" s="9" t="n"/>
    </row>
    <row r="405" ht="15.75" customHeight="1" s="13">
      <c r="I405" s="9" t="n"/>
      <c r="J405" s="9" t="n"/>
    </row>
    <row r="406" ht="15.75" customHeight="1" s="13">
      <c r="I406" s="9" t="n"/>
      <c r="J406" s="9" t="n"/>
    </row>
    <row r="407" ht="15.75" customHeight="1" s="13">
      <c r="I407" s="9" t="n"/>
      <c r="J407" s="9" t="n"/>
    </row>
    <row r="408" ht="15.75" customHeight="1" s="13">
      <c r="I408" s="9" t="n"/>
      <c r="J408" s="9" t="n"/>
    </row>
    <row r="409" ht="15.75" customHeight="1" s="13">
      <c r="I409" s="9" t="n"/>
      <c r="J409" s="9" t="n"/>
    </row>
    <row r="410" ht="15.75" customHeight="1" s="13">
      <c r="I410" s="9" t="n"/>
      <c r="J410" s="9" t="n"/>
    </row>
    <row r="411" ht="15.75" customHeight="1" s="13">
      <c r="I411" s="9" t="n"/>
      <c r="J411" s="9" t="n"/>
    </row>
    <row r="412" ht="15.75" customHeight="1" s="13">
      <c r="I412" s="9" t="n"/>
      <c r="J412" s="9" t="n"/>
    </row>
    <row r="413" ht="15.75" customHeight="1" s="13">
      <c r="I413" s="9" t="n"/>
      <c r="J413" s="9" t="n"/>
    </row>
    <row r="414" ht="15.75" customHeight="1" s="13">
      <c r="I414" s="9" t="n"/>
      <c r="J414" s="9" t="n"/>
    </row>
    <row r="415" ht="15.75" customHeight="1" s="13">
      <c r="I415" s="9" t="n"/>
      <c r="J415" s="9" t="n"/>
    </row>
    <row r="416" ht="15.75" customHeight="1" s="13">
      <c r="I416" s="9" t="n"/>
      <c r="J416" s="9" t="n"/>
    </row>
    <row r="417" ht="15.75" customHeight="1" s="13">
      <c r="I417" s="9" t="n"/>
      <c r="J417" s="9" t="n"/>
    </row>
    <row r="418" ht="15.75" customHeight="1" s="13">
      <c r="I418" s="9" t="n"/>
      <c r="J418" s="9" t="n"/>
    </row>
    <row r="419" ht="15.75" customHeight="1" s="13">
      <c r="I419" s="9" t="n"/>
      <c r="J419" s="9" t="n"/>
    </row>
    <row r="420" ht="15.75" customHeight="1" s="13">
      <c r="I420" s="9" t="n"/>
      <c r="J420" s="9" t="n"/>
    </row>
    <row r="421" ht="15.75" customHeight="1" s="13">
      <c r="I421" s="9" t="n"/>
      <c r="J421" s="9" t="n"/>
    </row>
    <row r="422" ht="15.75" customHeight="1" s="13">
      <c r="I422" s="9" t="n"/>
      <c r="J422" s="9" t="n"/>
    </row>
    <row r="423" ht="15.75" customHeight="1" s="13">
      <c r="I423" s="9" t="n"/>
      <c r="J423" s="9" t="n"/>
    </row>
    <row r="424" ht="15.75" customHeight="1" s="13">
      <c r="I424" s="9" t="n"/>
      <c r="J424" s="9" t="n"/>
    </row>
    <row r="425" ht="15.75" customHeight="1" s="13">
      <c r="I425" s="9" t="n"/>
      <c r="J425" s="9" t="n"/>
    </row>
    <row r="426" ht="15.75" customHeight="1" s="13">
      <c r="I426" s="9" t="n"/>
      <c r="J426" s="9" t="n"/>
    </row>
    <row r="427" ht="15.75" customHeight="1" s="13">
      <c r="I427" s="9" t="n"/>
      <c r="J427" s="9" t="n"/>
    </row>
    <row r="428" ht="15.75" customHeight="1" s="13">
      <c r="I428" s="9" t="n"/>
      <c r="J428" s="9" t="n"/>
    </row>
    <row r="429" ht="15.75" customHeight="1" s="13">
      <c r="I429" s="9" t="n"/>
      <c r="J429" s="9" t="n"/>
    </row>
    <row r="430" ht="15.75" customHeight="1" s="13">
      <c r="I430" s="9" t="n"/>
      <c r="J430" s="9" t="n"/>
    </row>
    <row r="431" ht="15.75" customHeight="1" s="13">
      <c r="I431" s="9" t="n"/>
      <c r="J431" s="9" t="n"/>
    </row>
    <row r="432" ht="15.75" customHeight="1" s="13">
      <c r="I432" s="9" t="n"/>
      <c r="J432" s="9" t="n"/>
    </row>
    <row r="433" ht="15.75" customHeight="1" s="13">
      <c r="I433" s="9" t="n"/>
      <c r="J433" s="9" t="n"/>
    </row>
    <row r="434" ht="15.75" customHeight="1" s="13">
      <c r="I434" s="9" t="n"/>
      <c r="J434" s="9" t="n"/>
    </row>
    <row r="435" ht="15.75" customHeight="1" s="13">
      <c r="I435" s="9" t="n"/>
      <c r="J435" s="9" t="n"/>
    </row>
    <row r="436" ht="15.75" customHeight="1" s="13">
      <c r="I436" s="9" t="n"/>
      <c r="J436" s="9" t="n"/>
    </row>
    <row r="437" ht="15.75" customHeight="1" s="13">
      <c r="I437" s="9" t="n"/>
      <c r="J437" s="9" t="n"/>
    </row>
    <row r="438" ht="15.75" customHeight="1" s="13">
      <c r="I438" s="9" t="n"/>
      <c r="J438" s="9" t="n"/>
    </row>
    <row r="439" ht="15.75" customHeight="1" s="13">
      <c r="I439" s="9" t="n"/>
      <c r="J439" s="9" t="n"/>
    </row>
    <row r="440" ht="15.75" customHeight="1" s="13">
      <c r="I440" s="9" t="n"/>
      <c r="J440" s="9" t="n"/>
    </row>
    <row r="441" ht="15.75" customHeight="1" s="13">
      <c r="I441" s="9" t="n"/>
      <c r="J441" s="9" t="n"/>
    </row>
    <row r="442" ht="15.75" customHeight="1" s="13">
      <c r="I442" s="9" t="n"/>
      <c r="J442" s="9" t="n"/>
    </row>
    <row r="443" ht="15.75" customHeight="1" s="13">
      <c r="I443" s="9" t="n"/>
      <c r="J443" s="9" t="n"/>
    </row>
    <row r="444" ht="15.75" customHeight="1" s="13">
      <c r="I444" s="9" t="n"/>
      <c r="J444" s="9" t="n"/>
    </row>
    <row r="445" ht="15.75" customHeight="1" s="13">
      <c r="I445" s="9" t="n"/>
      <c r="J445" s="9" t="n"/>
    </row>
    <row r="446" ht="15.75" customHeight="1" s="13">
      <c r="I446" s="9" t="n"/>
      <c r="J446" s="9" t="n"/>
    </row>
    <row r="447" ht="15.75" customHeight="1" s="13">
      <c r="I447" s="9" t="n"/>
      <c r="J447" s="9" t="n"/>
    </row>
    <row r="448" ht="15.75" customHeight="1" s="13">
      <c r="I448" s="9" t="n"/>
      <c r="J448" s="9" t="n"/>
    </row>
    <row r="449" ht="15.75" customHeight="1" s="13">
      <c r="I449" s="9" t="n"/>
      <c r="J449" s="9" t="n"/>
    </row>
    <row r="450" ht="15.75" customHeight="1" s="13">
      <c r="I450" s="9" t="n"/>
      <c r="J450" s="9" t="n"/>
    </row>
    <row r="451" ht="15.75" customHeight="1" s="13">
      <c r="I451" s="9" t="n"/>
      <c r="J451" s="9" t="n"/>
    </row>
    <row r="452" ht="15.75" customHeight="1" s="13">
      <c r="I452" s="9" t="n"/>
      <c r="J452" s="9" t="n"/>
    </row>
    <row r="453" ht="15.75" customHeight="1" s="13">
      <c r="I453" s="9" t="n"/>
      <c r="J453" s="9" t="n"/>
    </row>
    <row r="454" ht="15.75" customHeight="1" s="13">
      <c r="I454" s="9" t="n"/>
      <c r="J454" s="9" t="n"/>
    </row>
    <row r="455" ht="15.75" customHeight="1" s="13">
      <c r="I455" s="9" t="n"/>
      <c r="J455" s="9" t="n"/>
    </row>
    <row r="456" ht="15.75" customHeight="1" s="13">
      <c r="I456" s="9" t="n"/>
      <c r="J456" s="9" t="n"/>
    </row>
    <row r="457" ht="15.75" customHeight="1" s="13">
      <c r="I457" s="9" t="n"/>
      <c r="J457" s="9" t="n"/>
    </row>
    <row r="458" ht="15.75" customHeight="1" s="13">
      <c r="I458" s="9" t="n"/>
      <c r="J458" s="9" t="n"/>
    </row>
    <row r="459" ht="15.75" customHeight="1" s="13">
      <c r="I459" s="9" t="n"/>
      <c r="J459" s="9" t="n"/>
    </row>
    <row r="460" ht="15.75" customHeight="1" s="13">
      <c r="I460" s="9" t="n"/>
      <c r="J460" s="9" t="n"/>
    </row>
    <row r="461" ht="15.75" customHeight="1" s="13">
      <c r="I461" s="9" t="n"/>
      <c r="J461" s="9" t="n"/>
    </row>
    <row r="462" ht="15.75" customHeight="1" s="13">
      <c r="I462" s="9" t="n"/>
      <c r="J462" s="9" t="n"/>
    </row>
    <row r="463" ht="15.75" customHeight="1" s="13">
      <c r="I463" s="9" t="n"/>
      <c r="J463" s="9" t="n"/>
    </row>
    <row r="464" ht="15.75" customHeight="1" s="13">
      <c r="I464" s="9" t="n"/>
      <c r="J464" s="9" t="n"/>
    </row>
    <row r="465" ht="15.75" customHeight="1" s="13">
      <c r="I465" s="9" t="n"/>
      <c r="J465" s="9" t="n"/>
    </row>
    <row r="466" ht="15.75" customHeight="1" s="13">
      <c r="I466" s="9" t="n"/>
      <c r="J466" s="9" t="n"/>
    </row>
    <row r="467" ht="15.75" customHeight="1" s="13">
      <c r="I467" s="9" t="n"/>
      <c r="J467" s="9" t="n"/>
    </row>
    <row r="468" ht="15.75" customHeight="1" s="13">
      <c r="I468" s="9" t="n"/>
      <c r="J468" s="9" t="n"/>
    </row>
    <row r="469" ht="15.75" customHeight="1" s="13">
      <c r="I469" s="9" t="n"/>
      <c r="J469" s="9" t="n"/>
    </row>
    <row r="470" ht="15.75" customHeight="1" s="13">
      <c r="I470" s="9" t="n"/>
      <c r="J470" s="9" t="n"/>
    </row>
    <row r="471" ht="15.75" customHeight="1" s="13">
      <c r="I471" s="9" t="n"/>
      <c r="J471" s="9" t="n"/>
    </row>
    <row r="472" ht="15.75" customHeight="1" s="13">
      <c r="I472" s="9" t="n"/>
      <c r="J472" s="9" t="n"/>
    </row>
    <row r="473" ht="15.75" customHeight="1" s="13">
      <c r="I473" s="9" t="n"/>
      <c r="J473" s="9" t="n"/>
    </row>
    <row r="474" ht="15.75" customHeight="1" s="13">
      <c r="I474" s="9" t="n"/>
      <c r="J474" s="9" t="n"/>
    </row>
    <row r="475" ht="15.75" customHeight="1" s="13">
      <c r="I475" s="9" t="n"/>
      <c r="J475" s="9" t="n"/>
    </row>
    <row r="476" ht="15.75" customHeight="1" s="13">
      <c r="I476" s="9" t="n"/>
      <c r="J476" s="9" t="n"/>
    </row>
    <row r="477" ht="15.75" customHeight="1" s="13">
      <c r="I477" s="9" t="n"/>
      <c r="J477" s="9" t="n"/>
    </row>
    <row r="478" ht="15.75" customHeight="1" s="13">
      <c r="I478" s="9" t="n"/>
      <c r="J478" s="9" t="n"/>
    </row>
    <row r="479" ht="15.75" customHeight="1" s="13">
      <c r="I479" s="9" t="n"/>
      <c r="J479" s="9" t="n"/>
    </row>
    <row r="480" ht="15.75" customHeight="1" s="13">
      <c r="I480" s="9" t="n"/>
      <c r="J480" s="9" t="n"/>
    </row>
    <row r="481" ht="15.75" customHeight="1" s="13">
      <c r="I481" s="9" t="n"/>
      <c r="J481" s="9" t="n"/>
    </row>
    <row r="482" ht="15.75" customHeight="1" s="13">
      <c r="I482" s="9" t="n"/>
      <c r="J482" s="9" t="n"/>
    </row>
    <row r="483" ht="15.75" customHeight="1" s="13">
      <c r="I483" s="9" t="n"/>
      <c r="J483" s="9" t="n"/>
    </row>
    <row r="484" ht="15.75" customHeight="1" s="13">
      <c r="I484" s="9" t="n"/>
      <c r="J484" s="9" t="n"/>
    </row>
    <row r="485" ht="15.75" customHeight="1" s="13">
      <c r="I485" s="9" t="n"/>
      <c r="J485" s="9" t="n"/>
    </row>
    <row r="486" ht="15.75" customHeight="1" s="13">
      <c r="I486" s="9" t="n"/>
      <c r="J486" s="9" t="n"/>
    </row>
    <row r="487" ht="15.75" customHeight="1" s="13">
      <c r="I487" s="9" t="n"/>
      <c r="J487" s="9" t="n"/>
    </row>
    <row r="488" ht="15.75" customHeight="1" s="13">
      <c r="I488" s="9" t="n"/>
      <c r="J488" s="9" t="n"/>
    </row>
    <row r="489" ht="15.75" customHeight="1" s="13">
      <c r="I489" s="9" t="n"/>
      <c r="J489" s="9" t="n"/>
    </row>
    <row r="490" ht="15.75" customHeight="1" s="13">
      <c r="I490" s="9" t="n"/>
      <c r="J490" s="9" t="n"/>
    </row>
    <row r="491" ht="15.75" customHeight="1" s="13">
      <c r="I491" s="9" t="n"/>
      <c r="J491" s="9" t="n"/>
    </row>
    <row r="492" ht="15.75" customHeight="1" s="13">
      <c r="I492" s="9" t="n"/>
      <c r="J492" s="9" t="n"/>
    </row>
    <row r="493" ht="15.75" customHeight="1" s="13">
      <c r="I493" s="9" t="n"/>
      <c r="J493" s="9" t="n"/>
    </row>
    <row r="494" ht="15.75" customHeight="1" s="13">
      <c r="I494" s="9" t="n"/>
      <c r="J494" s="9" t="n"/>
    </row>
    <row r="495" ht="15.75" customHeight="1" s="13">
      <c r="I495" s="9" t="n"/>
      <c r="J495" s="9" t="n"/>
    </row>
    <row r="496" ht="15.75" customHeight="1" s="13">
      <c r="I496" s="9" t="n"/>
      <c r="J496" s="9" t="n"/>
    </row>
    <row r="497" ht="15.75" customHeight="1" s="13">
      <c r="I497" s="9" t="n"/>
      <c r="J497" s="9" t="n"/>
    </row>
    <row r="498" ht="15.75" customHeight="1" s="13">
      <c r="I498" s="9" t="n"/>
      <c r="J498" s="9" t="n"/>
    </row>
    <row r="499" ht="15.75" customHeight="1" s="13">
      <c r="I499" s="9" t="n"/>
      <c r="J499" s="9" t="n"/>
    </row>
    <row r="500" ht="15.75" customHeight="1" s="13">
      <c r="I500" s="9" t="n"/>
      <c r="J500" s="9" t="n"/>
    </row>
    <row r="501" ht="15.75" customHeight="1" s="13">
      <c r="I501" s="9" t="n"/>
      <c r="J501" s="9" t="n"/>
    </row>
    <row r="502" ht="15.75" customHeight="1" s="13">
      <c r="I502" s="9" t="n"/>
      <c r="J502" s="9" t="n"/>
    </row>
    <row r="503" ht="15.75" customHeight="1" s="13">
      <c r="I503" s="9" t="n"/>
      <c r="J503" s="9" t="n"/>
    </row>
    <row r="504" ht="15.75" customHeight="1" s="13">
      <c r="I504" s="9" t="n"/>
      <c r="J504" s="9" t="n"/>
    </row>
    <row r="505" ht="15.75" customHeight="1" s="13">
      <c r="I505" s="9" t="n"/>
      <c r="J505" s="9" t="n"/>
    </row>
    <row r="506" ht="15.75" customHeight="1" s="13">
      <c r="I506" s="9" t="n"/>
      <c r="J506" s="9" t="n"/>
    </row>
    <row r="507" ht="15.75" customHeight="1" s="13">
      <c r="I507" s="9" t="n"/>
      <c r="J507" s="9" t="n"/>
    </row>
    <row r="508" ht="15.75" customHeight="1" s="13">
      <c r="I508" s="9" t="n"/>
      <c r="J508" s="9" t="n"/>
    </row>
    <row r="509" ht="15.75" customHeight="1" s="13">
      <c r="I509" s="9" t="n"/>
      <c r="J509" s="9" t="n"/>
    </row>
    <row r="510" ht="15.75" customHeight="1" s="13">
      <c r="I510" s="9" t="n"/>
      <c r="J510" s="9" t="n"/>
    </row>
    <row r="511" ht="15.75" customHeight="1" s="13">
      <c r="I511" s="9" t="n"/>
      <c r="J511" s="9" t="n"/>
    </row>
    <row r="512" ht="15.75" customHeight="1" s="13">
      <c r="I512" s="9" t="n"/>
      <c r="J512" s="9" t="n"/>
    </row>
    <row r="513" ht="15.75" customHeight="1" s="13">
      <c r="I513" s="9" t="n"/>
      <c r="J513" s="9" t="n"/>
    </row>
    <row r="514" ht="15.75" customHeight="1" s="13">
      <c r="I514" s="9" t="n"/>
      <c r="J514" s="9" t="n"/>
    </row>
    <row r="515" ht="15.75" customHeight="1" s="13">
      <c r="I515" s="9" t="n"/>
      <c r="J515" s="9" t="n"/>
    </row>
    <row r="516" ht="15.75" customHeight="1" s="13">
      <c r="I516" s="9" t="n"/>
      <c r="J516" s="9" t="n"/>
    </row>
    <row r="517" ht="15.75" customHeight="1" s="13">
      <c r="I517" s="9" t="n"/>
      <c r="J517" s="9" t="n"/>
    </row>
    <row r="518" ht="15.75" customHeight="1" s="13">
      <c r="I518" s="9" t="n"/>
      <c r="J518" s="9" t="n"/>
    </row>
    <row r="519" ht="15.75" customHeight="1" s="13">
      <c r="I519" s="9" t="n"/>
      <c r="J519" s="9" t="n"/>
    </row>
    <row r="520" ht="15.75" customHeight="1" s="13">
      <c r="I520" s="9" t="n"/>
      <c r="J520" s="9" t="n"/>
    </row>
    <row r="521" ht="15.75" customHeight="1" s="13">
      <c r="I521" s="9" t="n"/>
      <c r="J521" s="9" t="n"/>
    </row>
    <row r="522" ht="15.75" customHeight="1" s="13">
      <c r="I522" s="9" t="n"/>
      <c r="J522" s="9" t="n"/>
    </row>
    <row r="523" ht="15.75" customHeight="1" s="13">
      <c r="I523" s="9" t="n"/>
      <c r="J523" s="9" t="n"/>
    </row>
    <row r="524" ht="15.75" customHeight="1" s="13">
      <c r="I524" s="9" t="n"/>
      <c r="J524" s="9" t="n"/>
    </row>
    <row r="525" ht="15.75" customHeight="1" s="13">
      <c r="I525" s="9" t="n"/>
      <c r="J525" s="9" t="n"/>
    </row>
    <row r="526" ht="15.75" customHeight="1" s="13">
      <c r="I526" s="9" t="n"/>
      <c r="J526" s="9" t="n"/>
    </row>
    <row r="527" ht="15.75" customHeight="1" s="13">
      <c r="I527" s="9" t="n"/>
      <c r="J527" s="9" t="n"/>
    </row>
    <row r="528" ht="15.75" customHeight="1" s="13">
      <c r="I528" s="9" t="n"/>
      <c r="J528" s="9" t="n"/>
    </row>
    <row r="529" ht="15.75" customHeight="1" s="13">
      <c r="I529" s="9" t="n"/>
      <c r="J529" s="9" t="n"/>
    </row>
    <row r="530" ht="15.75" customHeight="1" s="13">
      <c r="I530" s="9" t="n"/>
      <c r="J530" s="9" t="n"/>
    </row>
    <row r="531" ht="15.75" customHeight="1" s="13">
      <c r="I531" s="9" t="n"/>
      <c r="J531" s="9" t="n"/>
    </row>
    <row r="532" ht="15.75" customHeight="1" s="13">
      <c r="I532" s="9" t="n"/>
      <c r="J532" s="9" t="n"/>
    </row>
    <row r="533" ht="15.75" customHeight="1" s="13">
      <c r="I533" s="9" t="n"/>
      <c r="J533" s="9" t="n"/>
    </row>
    <row r="534" ht="15.75" customHeight="1" s="13">
      <c r="I534" s="9" t="n"/>
      <c r="J534" s="9" t="n"/>
    </row>
    <row r="535" ht="15.75" customHeight="1" s="13">
      <c r="I535" s="9" t="n"/>
      <c r="J535" s="9" t="n"/>
    </row>
    <row r="536" ht="15.75" customHeight="1" s="13">
      <c r="I536" s="9" t="n"/>
      <c r="J536" s="9" t="n"/>
    </row>
    <row r="537" ht="15.75" customHeight="1" s="13">
      <c r="I537" s="9" t="n"/>
      <c r="J537" s="9" t="n"/>
    </row>
    <row r="538" ht="15.75" customHeight="1" s="13">
      <c r="I538" s="9" t="n"/>
      <c r="J538" s="9" t="n"/>
    </row>
    <row r="539" ht="15.75" customHeight="1" s="13">
      <c r="I539" s="9" t="n"/>
      <c r="J539" s="9" t="n"/>
    </row>
    <row r="540" ht="15.75" customHeight="1" s="13">
      <c r="I540" s="9" t="n"/>
      <c r="J540" s="9" t="n"/>
    </row>
    <row r="541" ht="15.75" customHeight="1" s="13">
      <c r="I541" s="9" t="n"/>
      <c r="J541" s="9" t="n"/>
    </row>
    <row r="542" ht="15.75" customHeight="1" s="13">
      <c r="I542" s="9" t="n"/>
      <c r="J542" s="9" t="n"/>
    </row>
    <row r="543" ht="15.75" customHeight="1" s="13">
      <c r="I543" s="9" t="n"/>
      <c r="J543" s="9" t="n"/>
    </row>
    <row r="544" ht="15.75" customHeight="1" s="13">
      <c r="I544" s="9" t="n"/>
      <c r="J544" s="9" t="n"/>
    </row>
    <row r="545" ht="15.75" customHeight="1" s="13">
      <c r="I545" s="9" t="n"/>
      <c r="J545" s="9" t="n"/>
    </row>
    <row r="546" ht="15.75" customHeight="1" s="13">
      <c r="I546" s="9" t="n"/>
      <c r="J546" s="9" t="n"/>
    </row>
    <row r="547" ht="15.75" customHeight="1" s="13">
      <c r="I547" s="9" t="n"/>
      <c r="J547" s="9" t="n"/>
    </row>
    <row r="548" ht="15.75" customHeight="1" s="13">
      <c r="I548" s="9" t="n"/>
      <c r="J548" s="9" t="n"/>
    </row>
    <row r="549" ht="15.75" customHeight="1" s="13">
      <c r="I549" s="9" t="n"/>
      <c r="J549" s="9" t="n"/>
    </row>
    <row r="550" ht="15.75" customHeight="1" s="13">
      <c r="I550" s="9" t="n"/>
      <c r="J550" s="9" t="n"/>
    </row>
    <row r="551" ht="15.75" customHeight="1" s="13">
      <c r="I551" s="9" t="n"/>
      <c r="J551" s="9" t="n"/>
    </row>
    <row r="552" ht="15.75" customHeight="1" s="13">
      <c r="I552" s="9" t="n"/>
      <c r="J552" s="9" t="n"/>
    </row>
    <row r="553" ht="15.75" customHeight="1" s="13">
      <c r="I553" s="9" t="n"/>
      <c r="J553" s="9" t="n"/>
    </row>
    <row r="554" ht="15.75" customHeight="1" s="13">
      <c r="I554" s="9" t="n"/>
      <c r="J554" s="9" t="n"/>
    </row>
    <row r="555" ht="15.75" customHeight="1" s="13">
      <c r="I555" s="9" t="n"/>
      <c r="J555" s="9" t="n"/>
    </row>
    <row r="556" ht="15.75" customHeight="1" s="13">
      <c r="I556" s="9" t="n"/>
      <c r="J556" s="9" t="n"/>
    </row>
    <row r="557" ht="15.75" customHeight="1" s="13">
      <c r="I557" s="9" t="n"/>
      <c r="J557" s="9" t="n"/>
    </row>
    <row r="558" ht="15.75" customHeight="1" s="13">
      <c r="I558" s="9" t="n"/>
      <c r="J558" s="9" t="n"/>
    </row>
    <row r="559" ht="15.75" customHeight="1" s="13">
      <c r="I559" s="9" t="n"/>
      <c r="J559" s="9" t="n"/>
    </row>
    <row r="560" ht="15.75" customHeight="1" s="13">
      <c r="I560" s="9" t="n"/>
      <c r="J560" s="9" t="n"/>
    </row>
    <row r="561" ht="15.75" customHeight="1" s="13">
      <c r="I561" s="9" t="n"/>
      <c r="J561" s="9" t="n"/>
    </row>
    <row r="562" ht="15.75" customHeight="1" s="13">
      <c r="I562" s="9" t="n"/>
      <c r="J562" s="9" t="n"/>
    </row>
    <row r="563" ht="15.75" customHeight="1" s="13">
      <c r="I563" s="9" t="n"/>
      <c r="J563" s="9" t="n"/>
    </row>
    <row r="564" ht="15.75" customHeight="1" s="13">
      <c r="I564" s="9" t="n"/>
      <c r="J564" s="9" t="n"/>
    </row>
    <row r="565" ht="15.75" customHeight="1" s="13">
      <c r="I565" s="9" t="n"/>
      <c r="J565" s="9" t="n"/>
    </row>
    <row r="566" ht="15.75" customHeight="1" s="13">
      <c r="I566" s="9" t="n"/>
      <c r="J566" s="9" t="n"/>
    </row>
    <row r="567" ht="15.75" customHeight="1" s="13">
      <c r="I567" s="9" t="n"/>
      <c r="J567" s="9" t="n"/>
    </row>
    <row r="568" ht="15.75" customHeight="1" s="13">
      <c r="I568" s="9" t="n"/>
      <c r="J568" s="9" t="n"/>
    </row>
    <row r="569" ht="15.75" customHeight="1" s="13">
      <c r="I569" s="9" t="n"/>
      <c r="J569" s="9" t="n"/>
    </row>
    <row r="570" ht="15.75" customHeight="1" s="13">
      <c r="I570" s="9" t="n"/>
      <c r="J570" s="9" t="n"/>
    </row>
    <row r="571" ht="15.75" customHeight="1" s="13">
      <c r="I571" s="9" t="n"/>
      <c r="J571" s="9" t="n"/>
    </row>
    <row r="572" ht="15.75" customHeight="1" s="13">
      <c r="I572" s="9" t="n"/>
      <c r="J572" s="9" t="n"/>
    </row>
    <row r="573" ht="15.75" customHeight="1" s="13">
      <c r="I573" s="9" t="n"/>
      <c r="J573" s="9" t="n"/>
    </row>
    <row r="574" ht="15.75" customHeight="1" s="13">
      <c r="I574" s="9" t="n"/>
      <c r="J574" s="9" t="n"/>
    </row>
    <row r="575" ht="15.75" customHeight="1" s="13">
      <c r="I575" s="9" t="n"/>
      <c r="J575" s="9" t="n"/>
    </row>
    <row r="576" ht="15.75" customHeight="1" s="13">
      <c r="I576" s="9" t="n"/>
      <c r="J576" s="9" t="n"/>
    </row>
    <row r="577" ht="15.75" customHeight="1" s="13">
      <c r="I577" s="9" t="n"/>
      <c r="J577" s="9" t="n"/>
    </row>
    <row r="578" ht="15.75" customHeight="1" s="13">
      <c r="I578" s="9" t="n"/>
      <c r="J578" s="9" t="n"/>
    </row>
    <row r="579" ht="15.75" customHeight="1" s="13">
      <c r="I579" s="9" t="n"/>
      <c r="J579" s="9" t="n"/>
    </row>
    <row r="580" ht="15.75" customHeight="1" s="13">
      <c r="I580" s="9" t="n"/>
      <c r="J580" s="9" t="n"/>
    </row>
    <row r="581" ht="15.75" customHeight="1" s="13">
      <c r="I581" s="9" t="n"/>
      <c r="J581" s="9" t="n"/>
    </row>
    <row r="582" ht="15.75" customHeight="1" s="13">
      <c r="I582" s="9" t="n"/>
      <c r="J582" s="9" t="n"/>
    </row>
    <row r="583" ht="15.75" customHeight="1" s="13">
      <c r="I583" s="9" t="n"/>
      <c r="J583" s="9" t="n"/>
    </row>
    <row r="584" ht="15.75" customHeight="1" s="13">
      <c r="I584" s="9" t="n"/>
      <c r="J584" s="9" t="n"/>
    </row>
    <row r="585" ht="15.75" customHeight="1" s="13">
      <c r="I585" s="9" t="n"/>
      <c r="J585" s="9" t="n"/>
    </row>
    <row r="586" ht="15.75" customHeight="1" s="13">
      <c r="I586" s="9" t="n"/>
      <c r="J586" s="9" t="n"/>
    </row>
    <row r="587" ht="15.75" customHeight="1" s="13">
      <c r="I587" s="9" t="n"/>
      <c r="J587" s="9" t="n"/>
    </row>
    <row r="588" ht="15.75" customHeight="1" s="13">
      <c r="I588" s="9" t="n"/>
      <c r="J588" s="9" t="n"/>
    </row>
    <row r="589" ht="15.75" customHeight="1" s="13">
      <c r="I589" s="9" t="n"/>
      <c r="J589" s="9" t="n"/>
    </row>
    <row r="590" ht="15.75" customHeight="1" s="13">
      <c r="I590" s="9" t="n"/>
      <c r="J590" s="9" t="n"/>
    </row>
    <row r="591" ht="15.75" customHeight="1" s="13">
      <c r="I591" s="9" t="n"/>
      <c r="J591" s="9" t="n"/>
    </row>
    <row r="592" ht="15.75" customHeight="1" s="13">
      <c r="I592" s="9" t="n"/>
      <c r="J592" s="9" t="n"/>
    </row>
    <row r="593" ht="15.75" customHeight="1" s="13">
      <c r="I593" s="9" t="n"/>
      <c r="J593" s="9" t="n"/>
    </row>
    <row r="594" ht="15.75" customHeight="1" s="13">
      <c r="I594" s="9" t="n"/>
      <c r="J594" s="9" t="n"/>
    </row>
    <row r="595" ht="15.75" customHeight="1" s="13">
      <c r="I595" s="9" t="n"/>
      <c r="J595" s="9" t="n"/>
    </row>
    <row r="596" ht="15.75" customHeight="1" s="13">
      <c r="I596" s="9" t="n"/>
      <c r="J596" s="9" t="n"/>
    </row>
    <row r="597" ht="15.75" customHeight="1" s="13">
      <c r="I597" s="9" t="n"/>
      <c r="J597" s="9" t="n"/>
    </row>
    <row r="598" ht="15.75" customHeight="1" s="13">
      <c r="I598" s="9" t="n"/>
      <c r="J598" s="9" t="n"/>
    </row>
    <row r="599" ht="15.75" customHeight="1" s="13">
      <c r="I599" s="9" t="n"/>
      <c r="J599" s="9" t="n"/>
    </row>
    <row r="600" ht="15.75" customHeight="1" s="13">
      <c r="I600" s="9" t="n"/>
      <c r="J600" s="9" t="n"/>
    </row>
    <row r="601" ht="15.75" customHeight="1" s="13">
      <c r="I601" s="9" t="n"/>
      <c r="J601" s="9" t="n"/>
    </row>
    <row r="602" ht="15.75" customHeight="1" s="13">
      <c r="I602" s="9" t="n"/>
      <c r="J602" s="9" t="n"/>
    </row>
    <row r="603" ht="15.75" customHeight="1" s="13">
      <c r="I603" s="9" t="n"/>
      <c r="J603" s="9" t="n"/>
    </row>
    <row r="604" ht="15.75" customHeight="1" s="13">
      <c r="I604" s="9" t="n"/>
      <c r="J604" s="9" t="n"/>
    </row>
    <row r="605" ht="15.75" customHeight="1" s="13">
      <c r="I605" s="9" t="n"/>
      <c r="J605" s="9" t="n"/>
    </row>
    <row r="606" ht="15.75" customHeight="1" s="13">
      <c r="I606" s="9" t="n"/>
      <c r="J606" s="9" t="n"/>
    </row>
    <row r="607" ht="15.75" customHeight="1" s="13">
      <c r="I607" s="9" t="n"/>
      <c r="J607" s="9" t="n"/>
    </row>
    <row r="608" ht="15.75" customHeight="1" s="13">
      <c r="I608" s="9" t="n"/>
      <c r="J608" s="9" t="n"/>
    </row>
    <row r="609" ht="15.75" customHeight="1" s="13">
      <c r="I609" s="9" t="n"/>
      <c r="J609" s="9" t="n"/>
    </row>
    <row r="610" ht="15.75" customHeight="1" s="13">
      <c r="I610" s="9" t="n"/>
      <c r="J610" s="9" t="n"/>
    </row>
    <row r="611" ht="15.75" customHeight="1" s="13">
      <c r="I611" s="9" t="n"/>
      <c r="J611" s="9" t="n"/>
    </row>
    <row r="612" ht="15.75" customHeight="1" s="13">
      <c r="I612" s="9" t="n"/>
      <c r="J612" s="9" t="n"/>
    </row>
    <row r="613" ht="15.75" customHeight="1" s="13">
      <c r="I613" s="9" t="n"/>
      <c r="J613" s="9" t="n"/>
    </row>
    <row r="614" ht="15.75" customHeight="1" s="13">
      <c r="I614" s="9" t="n"/>
      <c r="J614" s="9" t="n"/>
    </row>
    <row r="615" ht="15.75" customHeight="1" s="13">
      <c r="I615" s="9" t="n"/>
      <c r="J615" s="9" t="n"/>
    </row>
    <row r="616" ht="15.75" customHeight="1" s="13">
      <c r="I616" s="9" t="n"/>
      <c r="J616" s="9" t="n"/>
    </row>
    <row r="617" ht="15.75" customHeight="1" s="13">
      <c r="I617" s="9" t="n"/>
      <c r="J617" s="9" t="n"/>
    </row>
    <row r="618" ht="15.75" customHeight="1" s="13">
      <c r="I618" s="9" t="n"/>
      <c r="J618" s="9" t="n"/>
    </row>
    <row r="619" ht="15.75" customHeight="1" s="13">
      <c r="I619" s="9" t="n"/>
      <c r="J619" s="9" t="n"/>
    </row>
    <row r="620" ht="15.75" customHeight="1" s="13">
      <c r="I620" s="9" t="n"/>
      <c r="J620" s="9" t="n"/>
    </row>
    <row r="621" ht="15.75" customHeight="1" s="13">
      <c r="I621" s="9" t="n"/>
      <c r="J621" s="9" t="n"/>
    </row>
    <row r="622" ht="15.75" customHeight="1" s="13">
      <c r="I622" s="9" t="n"/>
      <c r="J622" s="9" t="n"/>
    </row>
    <row r="623" ht="15.75" customHeight="1" s="13">
      <c r="I623" s="9" t="n"/>
      <c r="J623" s="9" t="n"/>
    </row>
    <row r="624" ht="15.75" customHeight="1" s="13">
      <c r="I624" s="9" t="n"/>
      <c r="J624" s="9" t="n"/>
    </row>
    <row r="625" ht="15.75" customHeight="1" s="13">
      <c r="I625" s="9" t="n"/>
      <c r="J625" s="9" t="n"/>
    </row>
    <row r="626" ht="15.75" customHeight="1" s="13">
      <c r="I626" s="9" t="n"/>
      <c r="J626" s="9" t="n"/>
    </row>
    <row r="627" ht="15.75" customHeight="1" s="13">
      <c r="I627" s="9" t="n"/>
      <c r="J627" s="9" t="n"/>
    </row>
    <row r="628" ht="15.75" customHeight="1" s="13">
      <c r="I628" s="9" t="n"/>
      <c r="J628" s="9" t="n"/>
    </row>
    <row r="629" ht="15.75" customHeight="1" s="13">
      <c r="I629" s="9" t="n"/>
      <c r="J629" s="9" t="n"/>
    </row>
    <row r="630" ht="15.75" customHeight="1" s="13">
      <c r="I630" s="9" t="n"/>
      <c r="J630" s="9" t="n"/>
    </row>
    <row r="631" ht="15.75" customHeight="1" s="13">
      <c r="I631" s="9" t="n"/>
      <c r="J631" s="9" t="n"/>
    </row>
    <row r="632" ht="15.75" customHeight="1" s="13">
      <c r="I632" s="9" t="n"/>
      <c r="J632" s="9" t="n"/>
    </row>
    <row r="633" ht="15.75" customHeight="1" s="13">
      <c r="I633" s="9" t="n"/>
      <c r="J633" s="9" t="n"/>
    </row>
    <row r="634" ht="15.75" customHeight="1" s="13">
      <c r="I634" s="9" t="n"/>
      <c r="J634" s="9" t="n"/>
    </row>
    <row r="635" ht="15.75" customHeight="1" s="13">
      <c r="I635" s="9" t="n"/>
      <c r="J635" s="9" t="n"/>
    </row>
    <row r="636" ht="15.75" customHeight="1" s="13">
      <c r="I636" s="9" t="n"/>
      <c r="J636" s="9" t="n"/>
    </row>
    <row r="637" ht="15.75" customHeight="1" s="13">
      <c r="I637" s="9" t="n"/>
      <c r="J637" s="9" t="n"/>
    </row>
    <row r="638" ht="15.75" customHeight="1" s="13">
      <c r="I638" s="9" t="n"/>
      <c r="J638" s="9" t="n"/>
    </row>
    <row r="639" ht="15.75" customHeight="1" s="13">
      <c r="I639" s="9" t="n"/>
      <c r="J639" s="9" t="n"/>
    </row>
    <row r="640" ht="15.75" customHeight="1" s="13">
      <c r="I640" s="9" t="n"/>
      <c r="J640" s="9" t="n"/>
    </row>
    <row r="641" ht="15.75" customHeight="1" s="13">
      <c r="I641" s="9" t="n"/>
      <c r="J641" s="9" t="n"/>
    </row>
    <row r="642" ht="15.75" customHeight="1" s="13">
      <c r="I642" s="9" t="n"/>
      <c r="J642" s="9" t="n"/>
    </row>
    <row r="643" ht="15.75" customHeight="1" s="13">
      <c r="I643" s="9" t="n"/>
      <c r="J643" s="9" t="n"/>
    </row>
    <row r="644" ht="15.75" customHeight="1" s="13">
      <c r="I644" s="9" t="n"/>
      <c r="J644" s="9" t="n"/>
    </row>
    <row r="645" ht="15.75" customHeight="1" s="13">
      <c r="I645" s="9" t="n"/>
      <c r="J645" s="9" t="n"/>
    </row>
    <row r="646" ht="15.75" customHeight="1" s="13">
      <c r="I646" s="9" t="n"/>
      <c r="J646" s="9" t="n"/>
    </row>
    <row r="647" ht="15.75" customHeight="1" s="13">
      <c r="I647" s="9" t="n"/>
      <c r="J647" s="9" t="n"/>
    </row>
    <row r="648" ht="15.75" customHeight="1" s="13">
      <c r="I648" s="9" t="n"/>
      <c r="J648" s="9" t="n"/>
    </row>
    <row r="649" ht="15.75" customHeight="1" s="13">
      <c r="I649" s="9" t="n"/>
      <c r="J649" s="9" t="n"/>
    </row>
    <row r="650" ht="15.75" customHeight="1" s="13">
      <c r="I650" s="9" t="n"/>
      <c r="J650" s="9" t="n"/>
    </row>
    <row r="651" ht="15.75" customHeight="1" s="13">
      <c r="I651" s="9" t="n"/>
      <c r="J651" s="9" t="n"/>
    </row>
    <row r="652" ht="15.75" customHeight="1" s="13">
      <c r="I652" s="9" t="n"/>
      <c r="J652" s="9" t="n"/>
    </row>
    <row r="653" ht="15.75" customHeight="1" s="13">
      <c r="I653" s="9" t="n"/>
      <c r="J653" s="9" t="n"/>
    </row>
    <row r="654" ht="15.75" customHeight="1" s="13">
      <c r="I654" s="9" t="n"/>
      <c r="J654" s="9" t="n"/>
    </row>
    <row r="655" ht="15.75" customHeight="1" s="13">
      <c r="I655" s="9" t="n"/>
      <c r="J655" s="9" t="n"/>
    </row>
    <row r="656" ht="15.75" customHeight="1" s="13">
      <c r="I656" s="9" t="n"/>
      <c r="J656" s="9" t="n"/>
    </row>
    <row r="657" ht="15.75" customHeight="1" s="13">
      <c r="I657" s="9" t="n"/>
      <c r="J657" s="9" t="n"/>
    </row>
    <row r="658" ht="15.75" customHeight="1" s="13">
      <c r="I658" s="9" t="n"/>
      <c r="J658" s="9" t="n"/>
    </row>
    <row r="659" ht="15.75" customHeight="1" s="13">
      <c r="I659" s="9" t="n"/>
      <c r="J659" s="9" t="n"/>
    </row>
    <row r="660" ht="15.75" customHeight="1" s="13">
      <c r="I660" s="9" t="n"/>
      <c r="J660" s="9" t="n"/>
    </row>
    <row r="661" ht="15.75" customHeight="1" s="13">
      <c r="I661" s="9" t="n"/>
      <c r="J661" s="9" t="n"/>
    </row>
    <row r="662" ht="15.75" customHeight="1" s="13">
      <c r="I662" s="9" t="n"/>
      <c r="J662" s="9" t="n"/>
    </row>
    <row r="663" ht="15.75" customHeight="1" s="13">
      <c r="I663" s="9" t="n"/>
      <c r="J663" s="9" t="n"/>
    </row>
    <row r="664" ht="15.75" customHeight="1" s="13">
      <c r="I664" s="9" t="n"/>
      <c r="J664" s="9" t="n"/>
    </row>
    <row r="665" ht="15.75" customHeight="1" s="13">
      <c r="I665" s="9" t="n"/>
      <c r="J665" s="9" t="n"/>
    </row>
    <row r="666" ht="15.75" customHeight="1" s="13">
      <c r="I666" s="9" t="n"/>
      <c r="J666" s="9" t="n"/>
    </row>
    <row r="667" ht="15.75" customHeight="1" s="13">
      <c r="I667" s="9" t="n"/>
      <c r="J667" s="9" t="n"/>
    </row>
    <row r="668" ht="15.75" customHeight="1" s="13">
      <c r="I668" s="9" t="n"/>
      <c r="J668" s="9" t="n"/>
    </row>
    <row r="669" ht="15.75" customHeight="1" s="13">
      <c r="I669" s="9" t="n"/>
      <c r="J669" s="9" t="n"/>
    </row>
    <row r="670" ht="15.75" customHeight="1" s="13">
      <c r="I670" s="9" t="n"/>
      <c r="J670" s="9" t="n"/>
    </row>
    <row r="671" ht="15.75" customHeight="1" s="13">
      <c r="I671" s="9" t="n"/>
      <c r="J671" s="9" t="n"/>
    </row>
    <row r="672" ht="15.75" customHeight="1" s="13">
      <c r="I672" s="9" t="n"/>
      <c r="J672" s="9" t="n"/>
    </row>
    <row r="673" ht="15.75" customHeight="1" s="13">
      <c r="I673" s="9" t="n"/>
      <c r="J673" s="9" t="n"/>
    </row>
    <row r="674" ht="15.75" customHeight="1" s="13">
      <c r="I674" s="9" t="n"/>
      <c r="J674" s="9" t="n"/>
    </row>
    <row r="675" ht="15.75" customHeight="1" s="13">
      <c r="I675" s="9" t="n"/>
      <c r="J675" s="9" t="n"/>
    </row>
    <row r="676" ht="15.75" customHeight="1" s="13">
      <c r="I676" s="9" t="n"/>
      <c r="J676" s="9" t="n"/>
    </row>
    <row r="677" ht="15.75" customHeight="1" s="13">
      <c r="I677" s="9" t="n"/>
      <c r="J677" s="9" t="n"/>
    </row>
    <row r="678" ht="15.75" customHeight="1" s="13">
      <c r="I678" s="9" t="n"/>
      <c r="J678" s="9" t="n"/>
    </row>
    <row r="679" ht="15.75" customHeight="1" s="13">
      <c r="I679" s="9" t="n"/>
      <c r="J679" s="9" t="n"/>
    </row>
    <row r="680" ht="15.75" customHeight="1" s="13">
      <c r="I680" s="9" t="n"/>
      <c r="J680" s="9" t="n"/>
    </row>
    <row r="681" ht="15.75" customHeight="1" s="13">
      <c r="I681" s="9" t="n"/>
      <c r="J681" s="9" t="n"/>
    </row>
    <row r="682" ht="15.75" customHeight="1" s="13">
      <c r="I682" s="9" t="n"/>
      <c r="J682" s="9" t="n"/>
    </row>
    <row r="683" ht="15.75" customHeight="1" s="13">
      <c r="I683" s="9" t="n"/>
      <c r="J683" s="9" t="n"/>
    </row>
    <row r="684" ht="15.75" customHeight="1" s="13">
      <c r="I684" s="9" t="n"/>
      <c r="J684" s="9" t="n"/>
    </row>
    <row r="685" ht="15.75" customHeight="1" s="13">
      <c r="I685" s="9" t="n"/>
      <c r="J685" s="9" t="n"/>
    </row>
    <row r="686" ht="15.75" customHeight="1" s="13">
      <c r="I686" s="9" t="n"/>
      <c r="J686" s="9" t="n"/>
    </row>
    <row r="687" ht="15.75" customHeight="1" s="13">
      <c r="I687" s="9" t="n"/>
      <c r="J687" s="9" t="n"/>
    </row>
    <row r="688" ht="15.75" customHeight="1" s="13">
      <c r="I688" s="9" t="n"/>
      <c r="J688" s="9" t="n"/>
    </row>
    <row r="689" ht="15.75" customHeight="1" s="13">
      <c r="I689" s="9" t="n"/>
      <c r="J689" s="9" t="n"/>
    </row>
    <row r="690" ht="15.75" customHeight="1" s="13">
      <c r="I690" s="9" t="n"/>
      <c r="J690" s="9" t="n"/>
    </row>
    <row r="691" ht="15.75" customHeight="1" s="13">
      <c r="I691" s="9" t="n"/>
      <c r="J691" s="9" t="n"/>
    </row>
    <row r="692" ht="15.75" customHeight="1" s="13">
      <c r="I692" s="9" t="n"/>
      <c r="J692" s="9" t="n"/>
    </row>
    <row r="693" ht="15.75" customHeight="1" s="13">
      <c r="I693" s="9" t="n"/>
      <c r="J693" s="9" t="n"/>
    </row>
    <row r="694" ht="15.75" customHeight="1" s="13">
      <c r="I694" s="9" t="n"/>
      <c r="J694" s="9" t="n"/>
    </row>
    <row r="695" ht="15.75" customHeight="1" s="13">
      <c r="I695" s="9" t="n"/>
      <c r="J695" s="9" t="n"/>
    </row>
    <row r="696" ht="15.75" customHeight="1" s="13">
      <c r="I696" s="9" t="n"/>
      <c r="J696" s="9" t="n"/>
    </row>
    <row r="697" ht="15.75" customHeight="1" s="13">
      <c r="I697" s="9" t="n"/>
      <c r="J697" s="9" t="n"/>
    </row>
    <row r="698" ht="15.75" customHeight="1" s="13">
      <c r="I698" s="9" t="n"/>
      <c r="J698" s="9" t="n"/>
    </row>
    <row r="699" ht="15.75" customHeight="1" s="13">
      <c r="I699" s="9" t="n"/>
      <c r="J699" s="9" t="n"/>
    </row>
    <row r="700" ht="15.75" customHeight="1" s="13">
      <c r="I700" s="9" t="n"/>
      <c r="J700" s="9" t="n"/>
    </row>
    <row r="701" ht="15.75" customHeight="1" s="13">
      <c r="I701" s="9" t="n"/>
      <c r="J701" s="9" t="n"/>
    </row>
    <row r="702" ht="15.75" customHeight="1" s="13">
      <c r="I702" s="9" t="n"/>
      <c r="J702" s="9" t="n"/>
    </row>
    <row r="703" ht="15.75" customHeight="1" s="13">
      <c r="I703" s="9" t="n"/>
      <c r="J703" s="9" t="n"/>
    </row>
    <row r="704" ht="15.75" customHeight="1" s="13">
      <c r="I704" s="9" t="n"/>
      <c r="J704" s="9" t="n"/>
    </row>
    <row r="705" ht="15.75" customHeight="1" s="13">
      <c r="I705" s="9" t="n"/>
      <c r="J705" s="9" t="n"/>
    </row>
    <row r="706" ht="15.75" customHeight="1" s="13">
      <c r="I706" s="9" t="n"/>
      <c r="J706" s="9" t="n"/>
    </row>
    <row r="707" ht="15.75" customHeight="1" s="13">
      <c r="I707" s="9" t="n"/>
      <c r="J707" s="9" t="n"/>
    </row>
    <row r="708" ht="15.75" customHeight="1" s="13">
      <c r="I708" s="9" t="n"/>
      <c r="J708" s="9" t="n"/>
    </row>
    <row r="709" ht="15.75" customHeight="1" s="13">
      <c r="I709" s="9" t="n"/>
      <c r="J709" s="9" t="n"/>
    </row>
    <row r="710" ht="15.75" customHeight="1" s="13">
      <c r="I710" s="9" t="n"/>
      <c r="J710" s="9" t="n"/>
    </row>
    <row r="711" ht="15.75" customHeight="1" s="13">
      <c r="I711" s="9" t="n"/>
      <c r="J711" s="9" t="n"/>
    </row>
    <row r="712" ht="15.75" customHeight="1" s="13">
      <c r="I712" s="9" t="n"/>
      <c r="J712" s="9" t="n"/>
    </row>
    <row r="713" ht="15.75" customHeight="1" s="13">
      <c r="I713" s="9" t="n"/>
      <c r="J713" s="9" t="n"/>
    </row>
    <row r="714" ht="15.75" customHeight="1" s="13">
      <c r="I714" s="9" t="n"/>
      <c r="J714" s="9" t="n"/>
    </row>
    <row r="715" ht="15.75" customHeight="1" s="13">
      <c r="I715" s="9" t="n"/>
      <c r="J715" s="9" t="n"/>
    </row>
    <row r="716" ht="15.75" customHeight="1" s="13">
      <c r="I716" s="9" t="n"/>
      <c r="J716" s="9" t="n"/>
    </row>
    <row r="717" ht="15.75" customHeight="1" s="13">
      <c r="I717" s="9" t="n"/>
      <c r="J717" s="9" t="n"/>
    </row>
    <row r="718" ht="15.75" customHeight="1" s="13">
      <c r="I718" s="9" t="n"/>
      <c r="J718" s="9" t="n"/>
    </row>
    <row r="719" ht="15.75" customHeight="1" s="13">
      <c r="I719" s="9" t="n"/>
      <c r="J719" s="9" t="n"/>
    </row>
    <row r="720" ht="15.75" customHeight="1" s="13">
      <c r="I720" s="9" t="n"/>
      <c r="J720" s="9" t="n"/>
    </row>
    <row r="721" ht="15.75" customHeight="1" s="13">
      <c r="I721" s="9" t="n"/>
      <c r="J721" s="9" t="n"/>
    </row>
    <row r="722" ht="15.75" customHeight="1" s="13">
      <c r="I722" s="9" t="n"/>
      <c r="J722" s="9" t="n"/>
    </row>
    <row r="723" ht="15.75" customHeight="1" s="13">
      <c r="I723" s="9" t="n"/>
      <c r="J723" s="9" t="n"/>
    </row>
    <row r="724" ht="15.75" customHeight="1" s="13">
      <c r="I724" s="9" t="n"/>
      <c r="J724" s="9" t="n"/>
    </row>
    <row r="725" ht="15.75" customHeight="1" s="13">
      <c r="I725" s="9" t="n"/>
      <c r="J725" s="9" t="n"/>
    </row>
    <row r="726" ht="15.75" customHeight="1" s="13">
      <c r="I726" s="9" t="n"/>
      <c r="J726" s="9" t="n"/>
    </row>
    <row r="727" ht="15.75" customHeight="1" s="13">
      <c r="I727" s="9" t="n"/>
      <c r="J727" s="9" t="n"/>
    </row>
    <row r="728" ht="15.75" customHeight="1" s="13">
      <c r="I728" s="9" t="n"/>
      <c r="J728" s="9" t="n"/>
    </row>
    <row r="729" ht="15.75" customHeight="1" s="13">
      <c r="I729" s="9" t="n"/>
      <c r="J729" s="9" t="n"/>
    </row>
    <row r="730" ht="15.75" customHeight="1" s="13">
      <c r="I730" s="9" t="n"/>
      <c r="J730" s="9" t="n"/>
    </row>
    <row r="731" ht="15.75" customHeight="1" s="13">
      <c r="I731" s="9" t="n"/>
      <c r="J731" s="9" t="n"/>
    </row>
    <row r="732" ht="15.75" customHeight="1" s="13">
      <c r="I732" s="9" t="n"/>
      <c r="J732" s="9" t="n"/>
    </row>
    <row r="733" ht="15.75" customHeight="1" s="13">
      <c r="I733" s="9" t="n"/>
      <c r="J733" s="9" t="n"/>
    </row>
    <row r="734" ht="15.75" customHeight="1" s="13">
      <c r="I734" s="9" t="n"/>
      <c r="J734" s="9" t="n"/>
    </row>
    <row r="735" ht="15.75" customHeight="1" s="13">
      <c r="I735" s="9" t="n"/>
      <c r="J735" s="9" t="n"/>
    </row>
    <row r="736" ht="15.75" customHeight="1" s="13">
      <c r="I736" s="9" t="n"/>
      <c r="J736" s="9" t="n"/>
    </row>
    <row r="737" ht="15.75" customHeight="1" s="13">
      <c r="I737" s="9" t="n"/>
      <c r="J737" s="9" t="n"/>
    </row>
    <row r="738" ht="15.75" customHeight="1" s="13">
      <c r="I738" s="9" t="n"/>
      <c r="J738" s="9" t="n"/>
    </row>
    <row r="739" ht="15.75" customHeight="1" s="13">
      <c r="I739" s="9" t="n"/>
      <c r="J739" s="9" t="n"/>
    </row>
    <row r="740" ht="15.75" customHeight="1" s="13">
      <c r="I740" s="9" t="n"/>
      <c r="J740" s="9" t="n"/>
    </row>
    <row r="741" ht="15.75" customHeight="1" s="13">
      <c r="I741" s="9" t="n"/>
      <c r="J741" s="9" t="n"/>
    </row>
    <row r="742" ht="15.75" customHeight="1" s="13">
      <c r="I742" s="9" t="n"/>
      <c r="J742" s="9" t="n"/>
    </row>
    <row r="743" ht="15.75" customHeight="1" s="13">
      <c r="I743" s="9" t="n"/>
      <c r="J743" s="9" t="n"/>
    </row>
    <row r="744" ht="15.75" customHeight="1" s="13">
      <c r="I744" s="9" t="n"/>
      <c r="J744" s="9" t="n"/>
    </row>
    <row r="745" ht="15.75" customHeight="1" s="13">
      <c r="I745" s="9" t="n"/>
      <c r="J745" s="9" t="n"/>
    </row>
    <row r="746" ht="15.75" customHeight="1" s="13">
      <c r="I746" s="9" t="n"/>
      <c r="J746" s="9" t="n"/>
    </row>
    <row r="747" ht="15.75" customHeight="1" s="13">
      <c r="I747" s="9" t="n"/>
      <c r="J747" s="9" t="n"/>
    </row>
    <row r="748" ht="15.75" customHeight="1" s="13">
      <c r="I748" s="9" t="n"/>
      <c r="J748" s="9" t="n"/>
    </row>
    <row r="749" ht="15.75" customHeight="1" s="13">
      <c r="I749" s="9" t="n"/>
      <c r="J749" s="9" t="n"/>
    </row>
    <row r="750" ht="15.75" customHeight="1" s="13">
      <c r="I750" s="9" t="n"/>
      <c r="J750" s="9" t="n"/>
    </row>
    <row r="751" ht="15.75" customHeight="1" s="13">
      <c r="I751" s="9" t="n"/>
      <c r="J751" s="9" t="n"/>
    </row>
    <row r="752" ht="15.75" customHeight="1" s="13">
      <c r="I752" s="9" t="n"/>
      <c r="J752" s="9" t="n"/>
    </row>
    <row r="753" ht="15.75" customHeight="1" s="13">
      <c r="I753" s="9" t="n"/>
      <c r="J753" s="9" t="n"/>
    </row>
    <row r="754" ht="15.75" customHeight="1" s="13">
      <c r="I754" s="9" t="n"/>
      <c r="J754" s="9" t="n"/>
    </row>
    <row r="755" ht="15.75" customHeight="1" s="13">
      <c r="I755" s="9" t="n"/>
      <c r="J755" s="9" t="n"/>
    </row>
    <row r="756" ht="15.75" customHeight="1" s="13">
      <c r="I756" s="9" t="n"/>
      <c r="J756" s="9" t="n"/>
    </row>
    <row r="757" ht="15.75" customHeight="1" s="13">
      <c r="I757" s="9" t="n"/>
      <c r="J757" s="9" t="n"/>
    </row>
    <row r="758" ht="15.75" customHeight="1" s="13">
      <c r="I758" s="9" t="n"/>
      <c r="J758" s="9" t="n"/>
    </row>
    <row r="759" ht="15.75" customHeight="1" s="13">
      <c r="I759" s="9" t="n"/>
      <c r="J759" s="9" t="n"/>
    </row>
    <row r="760" ht="15.75" customHeight="1" s="13">
      <c r="I760" s="9" t="n"/>
      <c r="J760" s="9" t="n"/>
    </row>
    <row r="761" ht="15.75" customHeight="1" s="13">
      <c r="I761" s="9" t="n"/>
      <c r="J761" s="9" t="n"/>
    </row>
    <row r="762" ht="15.75" customHeight="1" s="13">
      <c r="I762" s="9" t="n"/>
      <c r="J762" s="9" t="n"/>
    </row>
    <row r="763" ht="15.75" customHeight="1" s="13">
      <c r="I763" s="9" t="n"/>
      <c r="J763" s="9" t="n"/>
    </row>
    <row r="764" ht="15.75" customHeight="1" s="13">
      <c r="I764" s="9" t="n"/>
      <c r="J764" s="9" t="n"/>
    </row>
    <row r="765" ht="15.75" customHeight="1" s="13">
      <c r="I765" s="9" t="n"/>
      <c r="J765" s="9" t="n"/>
    </row>
    <row r="766" ht="15.75" customHeight="1" s="13">
      <c r="I766" s="9" t="n"/>
      <c r="J766" s="9" t="n"/>
    </row>
    <row r="767" ht="15.75" customHeight="1" s="13">
      <c r="I767" s="9" t="n"/>
      <c r="J767" s="9" t="n"/>
    </row>
    <row r="768" ht="15.75" customHeight="1" s="13">
      <c r="I768" s="9" t="n"/>
      <c r="J768" s="9" t="n"/>
    </row>
    <row r="769" ht="15.75" customHeight="1" s="13">
      <c r="I769" s="9" t="n"/>
      <c r="J769" s="9" t="n"/>
    </row>
    <row r="770" ht="15.75" customHeight="1" s="13">
      <c r="I770" s="9" t="n"/>
      <c r="J770" s="9" t="n"/>
    </row>
    <row r="771" ht="15.75" customHeight="1" s="13">
      <c r="I771" s="9" t="n"/>
      <c r="J771" s="9" t="n"/>
    </row>
    <row r="772" ht="15.75" customHeight="1" s="13">
      <c r="I772" s="9" t="n"/>
      <c r="J772" s="9" t="n"/>
    </row>
    <row r="773" ht="15.75" customHeight="1" s="13">
      <c r="I773" s="9" t="n"/>
      <c r="J773" s="9" t="n"/>
    </row>
    <row r="774" ht="15.75" customHeight="1" s="13">
      <c r="I774" s="9" t="n"/>
      <c r="J774" s="9" t="n"/>
    </row>
    <row r="775" ht="15.75" customHeight="1" s="13">
      <c r="I775" s="9" t="n"/>
      <c r="J775" s="9" t="n"/>
    </row>
    <row r="776" ht="15.75" customHeight="1" s="13">
      <c r="I776" s="9" t="n"/>
      <c r="J776" s="9" t="n"/>
    </row>
    <row r="777" ht="15.75" customHeight="1" s="13">
      <c r="I777" s="9" t="n"/>
      <c r="J777" s="9" t="n"/>
    </row>
    <row r="778" ht="15.75" customHeight="1" s="13">
      <c r="I778" s="9" t="n"/>
      <c r="J778" s="9" t="n"/>
    </row>
    <row r="779" ht="15.75" customHeight="1" s="13">
      <c r="I779" s="9" t="n"/>
      <c r="J779" s="9" t="n"/>
    </row>
    <row r="780" ht="15.75" customHeight="1" s="13">
      <c r="I780" s="9" t="n"/>
      <c r="J780" s="9" t="n"/>
    </row>
    <row r="781" ht="15.75" customHeight="1" s="13">
      <c r="I781" s="9" t="n"/>
      <c r="J781" s="9" t="n"/>
    </row>
    <row r="782" ht="15.75" customHeight="1" s="13">
      <c r="I782" s="9" t="n"/>
      <c r="J782" s="9" t="n"/>
    </row>
    <row r="783" ht="15.75" customHeight="1" s="13">
      <c r="I783" s="9" t="n"/>
      <c r="J783" s="9" t="n"/>
    </row>
    <row r="784" ht="15.75" customHeight="1" s="13">
      <c r="I784" s="9" t="n"/>
      <c r="J784" s="9" t="n"/>
    </row>
    <row r="785" ht="15.75" customHeight="1" s="13">
      <c r="I785" s="9" t="n"/>
      <c r="J785" s="9" t="n"/>
    </row>
    <row r="786" ht="15.75" customHeight="1" s="13">
      <c r="I786" s="9" t="n"/>
      <c r="J786" s="9" t="n"/>
    </row>
    <row r="787" ht="15.75" customHeight="1" s="13">
      <c r="I787" s="9" t="n"/>
      <c r="J787" s="9" t="n"/>
    </row>
    <row r="788" ht="15.75" customHeight="1" s="13">
      <c r="I788" s="9" t="n"/>
      <c r="J788" s="9" t="n"/>
    </row>
    <row r="789" ht="15.75" customHeight="1" s="13">
      <c r="I789" s="9" t="n"/>
      <c r="J789" s="9" t="n"/>
    </row>
    <row r="790" ht="15.75" customHeight="1" s="13">
      <c r="I790" s="9" t="n"/>
      <c r="J790" s="9" t="n"/>
    </row>
    <row r="791" ht="15.75" customHeight="1" s="13">
      <c r="I791" s="9" t="n"/>
      <c r="J791" s="9" t="n"/>
    </row>
    <row r="792" ht="15.75" customHeight="1" s="13">
      <c r="I792" s="9" t="n"/>
      <c r="J792" s="9" t="n"/>
    </row>
    <row r="793" ht="15.75" customHeight="1" s="13">
      <c r="I793" s="9" t="n"/>
      <c r="J793" s="9" t="n"/>
    </row>
    <row r="794" ht="15.75" customHeight="1" s="13">
      <c r="I794" s="9" t="n"/>
      <c r="J794" s="9" t="n"/>
    </row>
    <row r="795" ht="15.75" customHeight="1" s="13">
      <c r="I795" s="9" t="n"/>
      <c r="J795" s="9" t="n"/>
    </row>
    <row r="796" ht="15.75" customHeight="1" s="13">
      <c r="I796" s="9" t="n"/>
      <c r="J796" s="9" t="n"/>
    </row>
    <row r="797" ht="15.75" customHeight="1" s="13">
      <c r="I797" s="9" t="n"/>
      <c r="J797" s="9" t="n"/>
    </row>
    <row r="798" ht="15.75" customHeight="1" s="13">
      <c r="I798" s="9" t="n"/>
      <c r="J798" s="9" t="n"/>
    </row>
    <row r="799" ht="15.75" customHeight="1" s="13">
      <c r="I799" s="9" t="n"/>
      <c r="J799" s="9" t="n"/>
    </row>
    <row r="800" ht="15.75" customHeight="1" s="13">
      <c r="I800" s="9" t="n"/>
      <c r="J800" s="9" t="n"/>
    </row>
    <row r="801" ht="15.75" customHeight="1" s="13">
      <c r="I801" s="9" t="n"/>
      <c r="J801" s="9" t="n"/>
    </row>
    <row r="802" ht="15.75" customHeight="1" s="13">
      <c r="I802" s="9" t="n"/>
      <c r="J802" s="9" t="n"/>
    </row>
    <row r="803" ht="15.75" customHeight="1" s="13">
      <c r="I803" s="9" t="n"/>
      <c r="J803" s="9" t="n"/>
    </row>
    <row r="804" ht="15.75" customHeight="1" s="13">
      <c r="I804" s="9" t="n"/>
      <c r="J804" s="9" t="n"/>
    </row>
    <row r="805" ht="15.75" customHeight="1" s="13">
      <c r="I805" s="9" t="n"/>
      <c r="J805" s="9" t="n"/>
    </row>
    <row r="806" ht="15.75" customHeight="1" s="13">
      <c r="I806" s="9" t="n"/>
      <c r="J806" s="9" t="n"/>
    </row>
    <row r="807" ht="15.75" customHeight="1" s="13">
      <c r="I807" s="9" t="n"/>
      <c r="J807" s="9" t="n"/>
    </row>
    <row r="808" ht="15.75" customHeight="1" s="13">
      <c r="I808" s="9" t="n"/>
      <c r="J808" s="9" t="n"/>
    </row>
    <row r="809" ht="15.75" customHeight="1" s="13">
      <c r="I809" s="9" t="n"/>
      <c r="J809" s="9" t="n"/>
    </row>
    <row r="810" ht="15.75" customHeight="1" s="13">
      <c r="I810" s="9" t="n"/>
      <c r="J810" s="9" t="n"/>
    </row>
    <row r="811" ht="15.75" customHeight="1" s="13">
      <c r="I811" s="9" t="n"/>
      <c r="J811" s="9" t="n"/>
    </row>
    <row r="812" ht="15.75" customHeight="1" s="13">
      <c r="I812" s="9" t="n"/>
      <c r="J812" s="9" t="n"/>
    </row>
    <row r="813" ht="15.75" customHeight="1" s="13">
      <c r="I813" s="9" t="n"/>
      <c r="J813" s="9" t="n"/>
    </row>
    <row r="814" ht="15.75" customHeight="1" s="13">
      <c r="I814" s="9" t="n"/>
      <c r="J814" s="9" t="n"/>
    </row>
    <row r="815" ht="15.75" customHeight="1" s="13">
      <c r="I815" s="9" t="n"/>
      <c r="J815" s="9" t="n"/>
    </row>
    <row r="816" ht="15.75" customHeight="1" s="13">
      <c r="I816" s="9" t="n"/>
      <c r="J816" s="9" t="n"/>
    </row>
    <row r="817" ht="15.75" customHeight="1" s="13">
      <c r="I817" s="9" t="n"/>
      <c r="J817" s="9" t="n"/>
    </row>
    <row r="818" ht="15.75" customHeight="1" s="13">
      <c r="I818" s="9" t="n"/>
      <c r="J818" s="9" t="n"/>
    </row>
    <row r="819" ht="15.75" customHeight="1" s="13">
      <c r="I819" s="9" t="n"/>
      <c r="J819" s="9" t="n"/>
    </row>
    <row r="820" ht="15.75" customHeight="1" s="13">
      <c r="I820" s="9" t="n"/>
      <c r="J820" s="9" t="n"/>
    </row>
    <row r="821" ht="15.75" customHeight="1" s="13">
      <c r="I821" s="9" t="n"/>
      <c r="J821" s="9" t="n"/>
    </row>
    <row r="822" ht="15.75" customHeight="1" s="13">
      <c r="I822" s="9" t="n"/>
      <c r="J822" s="9" t="n"/>
    </row>
    <row r="823" ht="15.75" customHeight="1" s="13">
      <c r="I823" s="9" t="n"/>
      <c r="J823" s="9" t="n"/>
    </row>
    <row r="824" ht="15.75" customHeight="1" s="13">
      <c r="I824" s="9" t="n"/>
      <c r="J824" s="9" t="n"/>
    </row>
    <row r="825" ht="15.75" customHeight="1" s="13">
      <c r="I825" s="9" t="n"/>
      <c r="J825" s="9" t="n"/>
    </row>
    <row r="826" ht="15.75" customHeight="1" s="13">
      <c r="I826" s="9" t="n"/>
      <c r="J826" s="9" t="n"/>
    </row>
    <row r="827" ht="15.75" customHeight="1" s="13">
      <c r="I827" s="9" t="n"/>
      <c r="J827" s="9" t="n"/>
    </row>
    <row r="828" ht="15.75" customHeight="1" s="13">
      <c r="I828" s="9" t="n"/>
      <c r="J828" s="9" t="n"/>
    </row>
    <row r="829" ht="15.75" customHeight="1" s="13">
      <c r="I829" s="9" t="n"/>
      <c r="J829" s="9" t="n"/>
    </row>
    <row r="830" ht="15.75" customHeight="1" s="13">
      <c r="I830" s="9" t="n"/>
      <c r="J830" s="9" t="n"/>
    </row>
    <row r="831" ht="15.75" customHeight="1" s="13">
      <c r="I831" s="9" t="n"/>
      <c r="J831" s="9" t="n"/>
    </row>
    <row r="832" ht="15.75" customHeight="1" s="13">
      <c r="I832" s="9" t="n"/>
      <c r="J832" s="9" t="n"/>
    </row>
    <row r="833" ht="15.75" customHeight="1" s="13">
      <c r="I833" s="9" t="n"/>
      <c r="J833" s="9" t="n"/>
    </row>
    <row r="834" ht="15.75" customHeight="1" s="13">
      <c r="I834" s="9" t="n"/>
      <c r="J834" s="9" t="n"/>
    </row>
    <row r="835" ht="15.75" customHeight="1" s="13">
      <c r="I835" s="9" t="n"/>
      <c r="J835" s="9" t="n"/>
    </row>
    <row r="836" ht="15.75" customHeight="1" s="13">
      <c r="I836" s="9" t="n"/>
      <c r="J836" s="9" t="n"/>
    </row>
    <row r="837" ht="15.75" customHeight="1" s="13">
      <c r="I837" s="9" t="n"/>
      <c r="J837" s="9" t="n"/>
    </row>
    <row r="838" ht="15.75" customHeight="1" s="13">
      <c r="I838" s="9" t="n"/>
      <c r="J838" s="9" t="n"/>
    </row>
    <row r="839" ht="15.75" customHeight="1" s="13">
      <c r="I839" s="9" t="n"/>
      <c r="J839" s="9" t="n"/>
    </row>
    <row r="840" ht="15.75" customHeight="1" s="13">
      <c r="I840" s="9" t="n"/>
      <c r="J840" s="9" t="n"/>
    </row>
    <row r="841" ht="15.75" customHeight="1" s="13">
      <c r="I841" s="9" t="n"/>
      <c r="J841" s="9" t="n"/>
    </row>
    <row r="842" ht="15.75" customHeight="1" s="13">
      <c r="I842" s="9" t="n"/>
      <c r="J842" s="9" t="n"/>
    </row>
    <row r="843" ht="15.75" customHeight="1" s="13">
      <c r="I843" s="9" t="n"/>
      <c r="J843" s="9" t="n"/>
    </row>
    <row r="844" ht="15.75" customHeight="1" s="13">
      <c r="I844" s="9" t="n"/>
      <c r="J844" s="9" t="n"/>
    </row>
    <row r="845" ht="15.75" customHeight="1" s="13">
      <c r="I845" s="9" t="n"/>
      <c r="J845" s="9" t="n"/>
    </row>
    <row r="846" ht="15.75" customHeight="1" s="13">
      <c r="I846" s="9" t="n"/>
      <c r="J846" s="9" t="n"/>
    </row>
    <row r="847" ht="15.75" customHeight="1" s="13">
      <c r="I847" s="9" t="n"/>
      <c r="J847" s="9" t="n"/>
    </row>
    <row r="848" ht="15.75" customHeight="1" s="13">
      <c r="I848" s="9" t="n"/>
      <c r="J848" s="9" t="n"/>
    </row>
    <row r="849" ht="15.75" customHeight="1" s="13">
      <c r="I849" s="9" t="n"/>
      <c r="J849" s="9" t="n"/>
    </row>
    <row r="850" ht="15.75" customHeight="1" s="13">
      <c r="I850" s="9" t="n"/>
      <c r="J850" s="9" t="n"/>
    </row>
    <row r="851" ht="15.75" customHeight="1" s="13">
      <c r="I851" s="9" t="n"/>
      <c r="J851" s="9" t="n"/>
    </row>
    <row r="852" ht="15.75" customHeight="1" s="13">
      <c r="I852" s="9" t="n"/>
      <c r="J852" s="9" t="n"/>
    </row>
    <row r="853" ht="15.75" customHeight="1" s="13">
      <c r="I853" s="9" t="n"/>
      <c r="J853" s="9" t="n"/>
    </row>
    <row r="854" ht="15.75" customHeight="1" s="13">
      <c r="I854" s="9" t="n"/>
      <c r="J854" s="9" t="n"/>
    </row>
    <row r="855" ht="15.75" customHeight="1" s="13">
      <c r="I855" s="9" t="n"/>
      <c r="J855" s="9" t="n"/>
    </row>
    <row r="856" ht="15.75" customHeight="1" s="13">
      <c r="I856" s="9" t="n"/>
      <c r="J856" s="9" t="n"/>
    </row>
    <row r="857" ht="15.75" customHeight="1" s="13">
      <c r="I857" s="9" t="n"/>
      <c r="J857" s="9" t="n"/>
    </row>
    <row r="858" ht="15.75" customHeight="1" s="13">
      <c r="I858" s="9" t="n"/>
      <c r="J858" s="9" t="n"/>
    </row>
    <row r="859" ht="15.75" customHeight="1" s="13">
      <c r="I859" s="9" t="n"/>
      <c r="J859" s="9" t="n"/>
    </row>
    <row r="860" ht="15.75" customHeight="1" s="13">
      <c r="I860" s="9" t="n"/>
      <c r="J860" s="9" t="n"/>
    </row>
    <row r="861" ht="15.75" customHeight="1" s="13">
      <c r="I861" s="9" t="n"/>
      <c r="J861" s="9" t="n"/>
    </row>
    <row r="862" ht="15.75" customHeight="1" s="13">
      <c r="I862" s="9" t="n"/>
      <c r="J862" s="9" t="n"/>
    </row>
    <row r="863" ht="15.75" customHeight="1" s="13">
      <c r="I863" s="9" t="n"/>
      <c r="J863" s="9" t="n"/>
    </row>
    <row r="864" ht="15.75" customHeight="1" s="13">
      <c r="I864" s="9" t="n"/>
      <c r="J864" s="9" t="n"/>
    </row>
    <row r="865" ht="15.75" customHeight="1" s="13">
      <c r="I865" s="9" t="n"/>
      <c r="J865" s="9" t="n"/>
    </row>
    <row r="866" ht="15.75" customHeight="1" s="13">
      <c r="I866" s="9" t="n"/>
      <c r="J866" s="9" t="n"/>
    </row>
    <row r="867" ht="15.75" customHeight="1" s="13">
      <c r="I867" s="9" t="n"/>
      <c r="J867" s="9" t="n"/>
    </row>
    <row r="868" ht="15.75" customHeight="1" s="13">
      <c r="I868" s="9" t="n"/>
      <c r="J868" s="9" t="n"/>
    </row>
    <row r="869" ht="15.75" customHeight="1" s="13">
      <c r="I869" s="9" t="n"/>
      <c r="J869" s="9" t="n"/>
    </row>
    <row r="870" ht="15.75" customHeight="1" s="13">
      <c r="I870" s="9" t="n"/>
      <c r="J870" s="9" t="n"/>
    </row>
    <row r="871" ht="15.75" customHeight="1" s="13">
      <c r="I871" s="9" t="n"/>
      <c r="J871" s="9" t="n"/>
    </row>
    <row r="872" ht="15.75" customHeight="1" s="13">
      <c r="I872" s="9" t="n"/>
      <c r="J872" s="9" t="n"/>
    </row>
    <row r="873" ht="15.75" customHeight="1" s="13">
      <c r="I873" s="9" t="n"/>
      <c r="J873" s="9" t="n"/>
    </row>
    <row r="874" ht="15.75" customHeight="1" s="13">
      <c r="I874" s="9" t="n"/>
      <c r="J874" s="9" t="n"/>
    </row>
    <row r="875" ht="15.75" customHeight="1" s="13">
      <c r="I875" s="9" t="n"/>
      <c r="J875" s="9" t="n"/>
    </row>
    <row r="876" ht="15.75" customHeight="1" s="13">
      <c r="I876" s="9" t="n"/>
      <c r="J876" s="9" t="n"/>
    </row>
    <row r="877" ht="15.75" customHeight="1" s="13">
      <c r="I877" s="9" t="n"/>
      <c r="J877" s="9" t="n"/>
    </row>
    <row r="878" ht="15.75" customHeight="1" s="13">
      <c r="I878" s="9" t="n"/>
      <c r="J878" s="9" t="n"/>
    </row>
    <row r="879" ht="15.75" customHeight="1" s="13">
      <c r="I879" s="9" t="n"/>
      <c r="J879" s="9" t="n"/>
    </row>
    <row r="880" ht="15.75" customHeight="1" s="13">
      <c r="I880" s="9" t="n"/>
      <c r="J880" s="9" t="n"/>
    </row>
    <row r="881" ht="15.75" customHeight="1" s="13">
      <c r="I881" s="9" t="n"/>
      <c r="J881" s="9" t="n"/>
    </row>
    <row r="882" ht="15.75" customHeight="1" s="13">
      <c r="I882" s="9" t="n"/>
      <c r="J882" s="9" t="n"/>
    </row>
    <row r="883" ht="15.75" customHeight="1" s="13">
      <c r="I883" s="9" t="n"/>
      <c r="J883" s="9" t="n"/>
    </row>
    <row r="884" ht="15.75" customHeight="1" s="13">
      <c r="I884" s="9" t="n"/>
      <c r="J884" s="9" t="n"/>
    </row>
    <row r="885" ht="15.75" customHeight="1" s="13">
      <c r="I885" s="9" t="n"/>
      <c r="J885" s="9" t="n"/>
    </row>
    <row r="886" ht="15.75" customHeight="1" s="13">
      <c r="I886" s="9" t="n"/>
      <c r="J886" s="9" t="n"/>
    </row>
    <row r="887" ht="15.75" customHeight="1" s="13">
      <c r="I887" s="9" t="n"/>
      <c r="J887" s="9" t="n"/>
    </row>
    <row r="888" ht="15.75" customHeight="1" s="13">
      <c r="I888" s="9" t="n"/>
      <c r="J888" s="9" t="n"/>
    </row>
    <row r="889" ht="15.75" customHeight="1" s="13">
      <c r="I889" s="9" t="n"/>
      <c r="J889" s="9" t="n"/>
    </row>
    <row r="890" ht="15.75" customHeight="1" s="13">
      <c r="I890" s="9" t="n"/>
      <c r="J890" s="9" t="n"/>
    </row>
    <row r="891" ht="15.75" customHeight="1" s="13">
      <c r="I891" s="9" t="n"/>
      <c r="J891" s="9" t="n"/>
    </row>
    <row r="892" ht="15.75" customHeight="1" s="13">
      <c r="I892" s="9" t="n"/>
      <c r="J892" s="9" t="n"/>
    </row>
    <row r="893" ht="15.75" customHeight="1" s="13">
      <c r="I893" s="9" t="n"/>
      <c r="J893" s="9" t="n"/>
    </row>
    <row r="894" ht="15.75" customHeight="1" s="13">
      <c r="I894" s="9" t="n"/>
      <c r="J894" s="9" t="n"/>
    </row>
    <row r="895" ht="15.75" customHeight="1" s="13">
      <c r="I895" s="9" t="n"/>
      <c r="J895" s="9" t="n"/>
    </row>
    <row r="896" ht="15.75" customHeight="1" s="13">
      <c r="I896" s="9" t="n"/>
      <c r="J896" s="9" t="n"/>
    </row>
    <row r="897" ht="15.75" customHeight="1" s="13">
      <c r="I897" s="9" t="n"/>
      <c r="J897" s="9" t="n"/>
    </row>
    <row r="898" ht="15.75" customHeight="1" s="13">
      <c r="I898" s="9" t="n"/>
      <c r="J898" s="9" t="n"/>
    </row>
    <row r="899" ht="15.75" customHeight="1" s="13">
      <c r="I899" s="9" t="n"/>
      <c r="J899" s="9" t="n"/>
    </row>
    <row r="900" ht="15.75" customHeight="1" s="13">
      <c r="I900" s="9" t="n"/>
      <c r="J900" s="9" t="n"/>
    </row>
    <row r="901" ht="15.75" customHeight="1" s="13">
      <c r="I901" s="9" t="n"/>
      <c r="J901" s="9" t="n"/>
    </row>
    <row r="902" ht="15.75" customHeight="1" s="13">
      <c r="I902" s="9" t="n"/>
      <c r="J902" s="9" t="n"/>
    </row>
    <row r="903" ht="15.75" customHeight="1" s="13">
      <c r="I903" s="9" t="n"/>
      <c r="J903" s="9" t="n"/>
    </row>
    <row r="904" ht="15.75" customHeight="1" s="13">
      <c r="I904" s="9" t="n"/>
      <c r="J904" s="9" t="n"/>
    </row>
    <row r="905" ht="15.75" customHeight="1" s="13">
      <c r="I905" s="9" t="n"/>
      <c r="J905" s="9" t="n"/>
    </row>
    <row r="906" ht="15.75" customHeight="1" s="13">
      <c r="I906" s="9" t="n"/>
      <c r="J906" s="9" t="n"/>
    </row>
    <row r="907" ht="15.75" customHeight="1" s="13">
      <c r="I907" s="9" t="n"/>
      <c r="J907" s="9" t="n"/>
    </row>
    <row r="908" ht="15.75" customHeight="1" s="13">
      <c r="I908" s="9" t="n"/>
      <c r="J908" s="9" t="n"/>
    </row>
    <row r="909" ht="15.75" customHeight="1" s="13">
      <c r="I909" s="9" t="n"/>
      <c r="J909" s="9" t="n"/>
    </row>
    <row r="910" ht="15.75" customHeight="1" s="13">
      <c r="I910" s="9" t="n"/>
      <c r="J910" s="9" t="n"/>
    </row>
    <row r="911" ht="15.75" customHeight="1" s="13">
      <c r="I911" s="9" t="n"/>
      <c r="J911" s="9" t="n"/>
    </row>
    <row r="912" ht="15.75" customHeight="1" s="13">
      <c r="I912" s="9" t="n"/>
      <c r="J912" s="9" t="n"/>
    </row>
    <row r="913" ht="15.75" customHeight="1" s="13">
      <c r="I913" s="9" t="n"/>
      <c r="J913" s="9" t="n"/>
    </row>
    <row r="914" ht="15.75" customHeight="1" s="13">
      <c r="I914" s="9" t="n"/>
      <c r="J914" s="9" t="n"/>
    </row>
    <row r="915" ht="15.75" customHeight="1" s="13">
      <c r="I915" s="9" t="n"/>
      <c r="J915" s="9" t="n"/>
    </row>
    <row r="916" ht="15.75" customHeight="1" s="13">
      <c r="I916" s="9" t="n"/>
      <c r="J916" s="9" t="n"/>
    </row>
    <row r="917" ht="15.75" customHeight="1" s="13">
      <c r="I917" s="9" t="n"/>
      <c r="J917" s="9" t="n"/>
    </row>
    <row r="918" ht="15.75" customHeight="1" s="13">
      <c r="I918" s="9" t="n"/>
      <c r="J918" s="9" t="n"/>
    </row>
    <row r="919" ht="15.75" customHeight="1" s="13">
      <c r="I919" s="9" t="n"/>
      <c r="J919" s="9" t="n"/>
    </row>
    <row r="920" ht="15.75" customHeight="1" s="13">
      <c r="I920" s="9" t="n"/>
      <c r="J920" s="9" t="n"/>
    </row>
    <row r="921" ht="15.75" customHeight="1" s="13">
      <c r="I921" s="9" t="n"/>
      <c r="J921" s="9" t="n"/>
    </row>
    <row r="922" ht="15.75" customHeight="1" s="13">
      <c r="I922" s="9" t="n"/>
      <c r="J922" s="9" t="n"/>
    </row>
    <row r="923" ht="15.75" customHeight="1" s="13">
      <c r="I923" s="9" t="n"/>
      <c r="J923" s="9" t="n"/>
    </row>
    <row r="924" ht="15.75" customHeight="1" s="13">
      <c r="I924" s="9" t="n"/>
      <c r="J924" s="9" t="n"/>
    </row>
    <row r="925" ht="15.75" customHeight="1" s="13">
      <c r="I925" s="9" t="n"/>
      <c r="J925" s="9" t="n"/>
    </row>
    <row r="926" ht="15.75" customHeight="1" s="13">
      <c r="I926" s="9" t="n"/>
      <c r="J926" s="9" t="n"/>
    </row>
    <row r="927" ht="15.75" customHeight="1" s="13">
      <c r="I927" s="9" t="n"/>
      <c r="J927" s="9" t="n"/>
    </row>
    <row r="928" ht="15.75" customHeight="1" s="13">
      <c r="I928" s="9" t="n"/>
      <c r="J928" s="9" t="n"/>
    </row>
    <row r="929" ht="15.75" customHeight="1" s="13">
      <c r="I929" s="9" t="n"/>
      <c r="J929" s="9" t="n"/>
    </row>
    <row r="930" ht="15.75" customHeight="1" s="13">
      <c r="I930" s="9" t="n"/>
      <c r="J930" s="9" t="n"/>
    </row>
    <row r="931" ht="15.75" customHeight="1" s="13">
      <c r="I931" s="9" t="n"/>
      <c r="J931" s="9" t="n"/>
    </row>
    <row r="932" ht="15.75" customHeight="1" s="13">
      <c r="I932" s="9" t="n"/>
      <c r="J932" s="9" t="n"/>
    </row>
    <row r="933" ht="15.75" customHeight="1" s="13">
      <c r="I933" s="9" t="n"/>
      <c r="J933" s="9" t="n"/>
    </row>
    <row r="934" ht="15.75" customHeight="1" s="13">
      <c r="I934" s="9" t="n"/>
      <c r="J934" s="9" t="n"/>
    </row>
    <row r="935" ht="15.75" customHeight="1" s="13">
      <c r="I935" s="9" t="n"/>
      <c r="J935" s="9" t="n"/>
    </row>
    <row r="936" ht="15.75" customHeight="1" s="13">
      <c r="I936" s="9" t="n"/>
      <c r="J936" s="9" t="n"/>
    </row>
    <row r="937" ht="15.75" customHeight="1" s="13">
      <c r="I937" s="9" t="n"/>
      <c r="J937" s="9" t="n"/>
    </row>
    <row r="938" ht="15.75" customHeight="1" s="13">
      <c r="I938" s="9" t="n"/>
      <c r="J938" s="9" t="n"/>
    </row>
    <row r="939" ht="15.75" customHeight="1" s="13">
      <c r="I939" s="9" t="n"/>
      <c r="J939" s="9" t="n"/>
    </row>
    <row r="940" ht="15.75" customHeight="1" s="13">
      <c r="I940" s="9" t="n"/>
      <c r="J940" s="9" t="n"/>
    </row>
    <row r="941" ht="15.75" customHeight="1" s="13">
      <c r="I941" s="9" t="n"/>
      <c r="J941" s="9" t="n"/>
    </row>
    <row r="942" ht="15.75" customHeight="1" s="13">
      <c r="I942" s="9" t="n"/>
      <c r="J942" s="9" t="n"/>
    </row>
    <row r="943" ht="15.75" customHeight="1" s="13">
      <c r="I943" s="9" t="n"/>
      <c r="J943" s="9" t="n"/>
    </row>
    <row r="944" ht="15.75" customHeight="1" s="13">
      <c r="I944" s="9" t="n"/>
      <c r="J944" s="9" t="n"/>
    </row>
    <row r="945" ht="15.75" customHeight="1" s="13">
      <c r="I945" s="9" t="n"/>
      <c r="J945" s="9" t="n"/>
    </row>
    <row r="946" ht="15.75" customHeight="1" s="13">
      <c r="I946" s="9" t="n"/>
      <c r="J946" s="9" t="n"/>
    </row>
    <row r="947" ht="15.75" customHeight="1" s="13">
      <c r="I947" s="9" t="n"/>
      <c r="J947" s="9" t="n"/>
    </row>
    <row r="948" ht="15.75" customHeight="1" s="13">
      <c r="I948" s="9" t="n"/>
      <c r="J948" s="9" t="n"/>
    </row>
    <row r="949" ht="15.75" customHeight="1" s="13">
      <c r="I949" s="9" t="n"/>
      <c r="J949" s="9" t="n"/>
    </row>
    <row r="950" ht="15.75" customHeight="1" s="13">
      <c r="I950" s="9" t="n"/>
      <c r="J950" s="9" t="n"/>
    </row>
    <row r="951" ht="15.75" customHeight="1" s="13">
      <c r="I951" s="9" t="n"/>
      <c r="J951" s="9" t="n"/>
    </row>
    <row r="952" ht="15.75" customHeight="1" s="13">
      <c r="I952" s="9" t="n"/>
      <c r="J952" s="9" t="n"/>
    </row>
    <row r="953" ht="15.75" customHeight="1" s="13">
      <c r="I953" s="9" t="n"/>
      <c r="J953" s="9" t="n"/>
    </row>
    <row r="954" ht="15.75" customHeight="1" s="13">
      <c r="I954" s="9" t="n"/>
      <c r="J954" s="9" t="n"/>
    </row>
    <row r="955" ht="15.75" customHeight="1" s="13">
      <c r="I955" s="9" t="n"/>
      <c r="J955" s="9" t="n"/>
    </row>
    <row r="956" ht="15.75" customHeight="1" s="13">
      <c r="I956" s="9" t="n"/>
      <c r="J956" s="9" t="n"/>
    </row>
    <row r="957" ht="15.75" customHeight="1" s="13">
      <c r="I957" s="9" t="n"/>
      <c r="J957" s="9" t="n"/>
    </row>
    <row r="958" ht="15.75" customHeight="1" s="13">
      <c r="I958" s="9" t="n"/>
      <c r="J958" s="9" t="n"/>
    </row>
    <row r="959" ht="15.75" customHeight="1" s="13">
      <c r="I959" s="9" t="n"/>
      <c r="J959" s="9" t="n"/>
    </row>
    <row r="960" ht="15.75" customHeight="1" s="13">
      <c r="I960" s="9" t="n"/>
      <c r="J960" s="9" t="n"/>
    </row>
    <row r="961" ht="15.75" customHeight="1" s="13">
      <c r="I961" s="9" t="n"/>
      <c r="J961" s="9" t="n"/>
    </row>
    <row r="962" ht="15.75" customHeight="1" s="13">
      <c r="I962" s="9" t="n"/>
      <c r="J962" s="9" t="n"/>
    </row>
    <row r="963" ht="15.75" customHeight="1" s="13">
      <c r="I963" s="9" t="n"/>
      <c r="J963" s="9" t="n"/>
    </row>
    <row r="964" ht="15.75" customHeight="1" s="13">
      <c r="I964" s="9" t="n"/>
      <c r="J964" s="9" t="n"/>
    </row>
    <row r="965" ht="15.75" customHeight="1" s="13">
      <c r="I965" s="9" t="n"/>
      <c r="J965" s="9" t="n"/>
    </row>
    <row r="966" ht="15.75" customHeight="1" s="13">
      <c r="I966" s="9" t="n"/>
      <c r="J966" s="9" t="n"/>
    </row>
    <row r="967" ht="15.75" customHeight="1" s="13">
      <c r="I967" s="9" t="n"/>
      <c r="J967" s="9" t="n"/>
    </row>
    <row r="968" ht="15.75" customHeight="1" s="13">
      <c r="I968" s="9" t="n"/>
      <c r="J968" s="9" t="n"/>
    </row>
    <row r="969" ht="15.75" customHeight="1" s="13">
      <c r="I969" s="9" t="n"/>
      <c r="J969" s="9" t="n"/>
    </row>
    <row r="970" ht="15.75" customHeight="1" s="13">
      <c r="I970" s="9" t="n"/>
      <c r="J970" s="9" t="n"/>
    </row>
    <row r="971" ht="15.75" customHeight="1" s="13">
      <c r="I971" s="9" t="n"/>
      <c r="J971" s="9" t="n"/>
    </row>
    <row r="972" ht="15.75" customHeight="1" s="13">
      <c r="I972" s="9" t="n"/>
      <c r="J972" s="9" t="n"/>
    </row>
    <row r="973" ht="15.75" customHeight="1" s="13">
      <c r="I973" s="9" t="n"/>
      <c r="J973" s="9" t="n"/>
    </row>
    <row r="974" ht="15.75" customHeight="1" s="13">
      <c r="I974" s="9" t="n"/>
      <c r="J974" s="9" t="n"/>
    </row>
    <row r="975" ht="15.75" customHeight="1" s="13">
      <c r="I975" s="9" t="n"/>
      <c r="J975" s="9" t="n"/>
    </row>
    <row r="976" ht="15.75" customHeight="1" s="13">
      <c r="I976" s="9" t="n"/>
      <c r="J976" s="9" t="n"/>
    </row>
    <row r="977" ht="15.75" customHeight="1" s="13">
      <c r="I977" s="9" t="n"/>
      <c r="J977" s="9" t="n"/>
    </row>
    <row r="978" ht="15.75" customHeight="1" s="13">
      <c r="I978" s="9" t="n"/>
      <c r="J978" s="9" t="n"/>
    </row>
    <row r="979" ht="15.75" customHeight="1" s="13">
      <c r="I979" s="9" t="n"/>
      <c r="J979" s="9" t="n"/>
    </row>
    <row r="980" ht="15.75" customHeight="1" s="13">
      <c r="I980" s="9" t="n"/>
      <c r="J980" s="9" t="n"/>
    </row>
    <row r="981" ht="15.75" customHeight="1" s="13">
      <c r="I981" s="9" t="n"/>
      <c r="J981" s="9" t="n"/>
    </row>
    <row r="982" ht="15.75" customHeight="1" s="13">
      <c r="I982" s="9" t="n"/>
      <c r="J982" s="9" t="n"/>
    </row>
    <row r="983" ht="15.75" customHeight="1" s="13">
      <c r="I983" s="9" t="n"/>
      <c r="J983" s="9" t="n"/>
    </row>
    <row r="984" ht="15.75" customHeight="1" s="13">
      <c r="I984" s="9" t="n"/>
      <c r="J984" s="9" t="n"/>
    </row>
    <row r="985" ht="15.75" customHeight="1" s="13">
      <c r="I985" s="9" t="n"/>
      <c r="J985" s="9" t="n"/>
    </row>
    <row r="986" ht="15.75" customHeight="1" s="13">
      <c r="I986" s="9" t="n"/>
      <c r="J986" s="9" t="n"/>
    </row>
    <row r="987" ht="15.75" customHeight="1" s="13">
      <c r="I987" s="9" t="n"/>
      <c r="J987" s="9" t="n"/>
    </row>
    <row r="988" ht="15.75" customHeight="1" s="13">
      <c r="I988" s="9" t="n"/>
      <c r="J988" s="9" t="n"/>
    </row>
    <row r="989" ht="15.75" customHeight="1" s="13">
      <c r="I989" s="9" t="n"/>
      <c r="J989" s="9" t="n"/>
    </row>
    <row r="990" ht="15.75" customHeight="1" s="13">
      <c r="I990" s="9" t="n"/>
      <c r="J990" s="9" t="n"/>
    </row>
    <row r="991" ht="15.75" customHeight="1" s="13">
      <c r="I991" s="9" t="n"/>
      <c r="J991" s="9" t="n"/>
    </row>
    <row r="992" ht="15.75" customHeight="1" s="13">
      <c r="I992" s="9" t="n"/>
      <c r="J992" s="9" t="n"/>
    </row>
    <row r="993" ht="15.75" customHeight="1" s="13">
      <c r="I993" s="9" t="n"/>
      <c r="J993" s="9" t="n"/>
    </row>
    <row r="994" ht="15.75" customHeight="1" s="13">
      <c r="I994" s="9" t="n"/>
      <c r="J994" s="9" t="n"/>
    </row>
    <row r="995" ht="15.75" customHeight="1" s="13">
      <c r="I995" s="9" t="n"/>
      <c r="J995" s="9" t="n"/>
    </row>
    <row r="996" ht="15.75" customHeight="1" s="13">
      <c r="I996" s="9" t="n"/>
      <c r="J996" s="9" t="n"/>
    </row>
    <row r="997" ht="15.75" customHeight="1" s="13">
      <c r="I997" s="9" t="n"/>
      <c r="J997" s="9" t="n"/>
    </row>
    <row r="998" ht="15.75" customHeight="1" s="13">
      <c r="I998" s="9" t="n"/>
      <c r="J998" s="9" t="n"/>
    </row>
    <row r="999" ht="15.75" customHeight="1" s="13">
      <c r="I999" s="9" t="n"/>
      <c r="J999" s="9" t="n"/>
    </row>
    <row r="1000" ht="15.75" customHeight="1" s="13">
      <c r="I1000" s="9" t="n"/>
      <c r="J1000" s="9" t="n"/>
    </row>
  </sheetData>
  <autoFilter ref="$A$1:$W$28"/>
  <dataValidations count="1">
    <dataValidation sqref="K2:T28" showDropDown="0" showInputMessage="1" showErrorMessage="0" allowBlank="1" prompt="Base stat - Normally 1-50. Totals are targets, not caps." type="decimal">
      <formula1>1.0</formula1>
      <formula2>50.0</formula2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style="13" min="1" max="1"/>
    <col width="10" customWidth="1" style="13" min="2" max="2"/>
    <col width="20" customWidth="1" style="13" min="3" max="3"/>
    <col width="11" customWidth="1" style="13" min="4" max="4"/>
    <col width="12" customWidth="1" style="13" min="5" max="5"/>
    <col width="22" customWidth="1" style="13" min="6" max="6"/>
    <col width="22" customWidth="1" style="13" min="7" max="7"/>
    <col width="26" customWidth="1" style="13" min="8" max="8"/>
    <col width="26" customWidth="1" style="13" min="9" max="9"/>
    <col width="26" customWidth="1" style="13" min="10" max="10"/>
    <col width="28" customWidth="1" style="13" min="11" max="11"/>
    <col width="66" customWidth="1" style="13" min="13" max="13"/>
  </cols>
  <sheetData>
    <row r="1" ht="30" customHeight="1" s="13">
      <c r="A1" s="14" t="inlineStr">
        <is>
          <t>#</t>
        </is>
      </c>
      <c r="B1" s="14" t="inlineStr">
        <is>
          <t>Role</t>
        </is>
      </c>
      <c r="C1" s="14" t="inlineStr">
        <is>
          <t>Hero</t>
        </is>
      </c>
      <c r="D1" s="14" t="inlineStr">
        <is>
          <t>Primary</t>
        </is>
      </c>
      <c r="E1" s="14" t="inlineStr">
        <is>
          <t>Secondary</t>
        </is>
      </c>
      <c r="F1" s="14" t="inlineStr">
        <is>
          <t>Power 0 — auto</t>
        </is>
      </c>
      <c r="G1" s="14" t="inlineStr">
        <is>
          <t>Power 1</t>
        </is>
      </c>
      <c r="H1" s="14" t="inlineStr">
        <is>
          <t>Power 2</t>
        </is>
      </c>
      <c r="I1" s="14" t="inlineStr">
        <is>
          <t>Power 3</t>
        </is>
      </c>
      <c r="J1" s="14" t="inlineStr">
        <is>
          <t>Power 4</t>
        </is>
      </c>
      <c r="K1" s="14" t="inlineStr">
        <is>
          <t>Power 5</t>
        </is>
      </c>
      <c r="M1" s="15" t="inlineStr">
        <is>
          <t>HOW POWERS ARE SHARED</t>
        </is>
      </c>
    </row>
    <row r="2">
      <c r="A2" t="n">
        <v>1</v>
      </c>
      <c r="B2" t="inlineStr">
        <is>
          <t>Striker</t>
        </is>
      </c>
      <c r="C2" t="inlineStr">
        <is>
          <t>Bramwen</t>
        </is>
      </c>
      <c r="D2" t="inlineStr">
        <is>
          <t>Earth</t>
        </is>
      </c>
      <c r="E2" t="inlineStr">
        <is>
          <t>Fire</t>
        </is>
      </c>
      <c r="F2" s="16" t="inlineStr">
        <is>
          <t>Sundered Ground</t>
        </is>
      </c>
      <c r="G2" s="17" t="inlineStr">
        <is>
          <t>Root and Hold</t>
        </is>
      </c>
      <c r="H2" s="17" t="inlineStr">
        <is>
          <t>The Mountain Answers</t>
        </is>
      </c>
      <c r="I2" s="18" t="inlineStr">
        <is>
          <t>The Bloom Lends Heat</t>
        </is>
      </c>
      <c r="J2" s="19" t="inlineStr">
        <is>
          <t>Years in the Making</t>
        </is>
      </c>
      <c r="K2" s="19" t="inlineStr">
        <is>
          <t>Wrath of the Slow Stone</t>
        </is>
      </c>
      <c r="M2" s="20" t="inlineStr">
        <is>
          <t>Power 0 — auto-skill. The default attack, usable every turn with</t>
        </is>
      </c>
    </row>
    <row r="3">
      <c r="A3" t="n">
        <v>2</v>
      </c>
      <c r="B3" t="inlineStr">
        <is>
          <t>Tank</t>
        </is>
      </c>
      <c r="C3" t="inlineStr">
        <is>
          <t>Ossic</t>
        </is>
      </c>
      <c r="D3" t="inlineStr">
        <is>
          <t>Earth</t>
        </is>
      </c>
      <c r="E3" t="inlineStr">
        <is>
          <t>Dark</t>
        </is>
      </c>
      <c r="F3" s="16" t="inlineStr">
        <is>
          <t>Sundered Ground</t>
        </is>
      </c>
      <c r="G3" s="17" t="inlineStr">
        <is>
          <t>Root and Hold</t>
        </is>
      </c>
      <c r="H3" s="17" t="inlineStr">
        <is>
          <t>The Mountain Answers</t>
        </is>
      </c>
      <c r="I3" s="18" t="inlineStr">
        <is>
          <t>The Silence Lends Cover</t>
        </is>
      </c>
      <c r="J3" s="19" t="inlineStr">
        <is>
          <t>Kneel and Raise</t>
        </is>
      </c>
      <c r="K3" s="19" t="inlineStr">
        <is>
          <t>The God-Bone Wakes</t>
        </is>
      </c>
      <c r="M3" s="20" t="inlineStr">
        <is>
          <t>no cooldown, so a hero is never idle. Shared by primary type.</t>
        </is>
      </c>
    </row>
    <row r="4">
      <c r="A4" t="n">
        <v>3</v>
      </c>
      <c r="B4" t="inlineStr">
        <is>
          <t>Tank</t>
        </is>
      </c>
      <c r="C4" t="inlineStr">
        <is>
          <t>Terragosa</t>
        </is>
      </c>
      <c r="D4" t="inlineStr">
        <is>
          <t>Earth</t>
        </is>
      </c>
      <c r="E4" t="inlineStr">
        <is>
          <t>Light</t>
        </is>
      </c>
      <c r="F4" s="16" t="inlineStr">
        <is>
          <t>Sundered Ground</t>
        </is>
      </c>
      <c r="G4" s="17" t="inlineStr">
        <is>
          <t>Root and Hold</t>
        </is>
      </c>
      <c r="H4" s="17" t="inlineStr">
        <is>
          <t>The Mountain Answers</t>
        </is>
      </c>
      <c r="I4" s="18" t="inlineStr">
        <is>
          <t>The Word Lends Sight</t>
        </is>
      </c>
      <c r="J4" s="19" t="inlineStr">
        <is>
          <t>Orchard Over Ruin</t>
        </is>
      </c>
      <c r="K4" s="19" t="inlineStr">
        <is>
          <t>The Green Crown Descends</t>
        </is>
      </c>
      <c r="M4" s="20" t="inlineStr">
        <is>
          <t>Powers 1-2 — shared by every hero of the same PRIMARY type.</t>
        </is>
      </c>
    </row>
    <row r="5">
      <c r="A5" t="n">
        <v>4</v>
      </c>
      <c r="B5" t="inlineStr">
        <is>
          <t>Striker</t>
        </is>
      </c>
      <c r="C5" t="inlineStr">
        <is>
          <t>Zephyrine</t>
        </is>
      </c>
      <c r="D5" t="inlineStr">
        <is>
          <t>Air</t>
        </is>
      </c>
      <c r="E5" t="inlineStr">
        <is>
          <t>Light</t>
        </is>
      </c>
      <c r="F5" s="16" t="inlineStr">
        <is>
          <t>Cutting Gale</t>
        </is>
      </c>
      <c r="G5" s="17" t="inlineStr">
        <is>
          <t>Thin the Air</t>
        </is>
      </c>
      <c r="H5" s="17" t="inlineStr">
        <is>
          <t>The Sky Unmoored</t>
        </is>
      </c>
      <c r="I5" s="18" t="inlineStr">
        <is>
          <t>The Word Lends Sight</t>
        </is>
      </c>
      <c r="J5" s="19" t="inlineStr">
        <is>
          <t>A Distance Never Closed</t>
        </is>
      </c>
      <c r="K5" s="19" t="inlineStr">
        <is>
          <t>The Thin Blade Falls</t>
        </is>
      </c>
      <c r="M5" s="20" t="inlineStr">
        <is>
          <t>9 types x 3 = 27 names. Three champions of a House share them.</t>
        </is>
      </c>
    </row>
    <row r="6">
      <c r="A6" t="n">
        <v>5</v>
      </c>
      <c r="B6" t="inlineStr">
        <is>
          <t>Buffer</t>
        </is>
      </c>
      <c r="C6" t="inlineStr">
        <is>
          <t>Cirrolan</t>
        </is>
      </c>
      <c r="D6" t="inlineStr">
        <is>
          <t>Air</t>
        </is>
      </c>
      <c r="E6" t="inlineStr">
        <is>
          <t>Water</t>
        </is>
      </c>
      <c r="F6" s="16" t="inlineStr">
        <is>
          <t>Cutting Gale</t>
        </is>
      </c>
      <c r="G6" s="17" t="inlineStr">
        <is>
          <t>Thin the Air</t>
        </is>
      </c>
      <c r="H6" s="17" t="inlineStr">
        <is>
          <t>The Sky Unmoored</t>
        </is>
      </c>
      <c r="I6" s="18" t="inlineStr">
        <is>
          <t>The Tide Lends Patience</t>
        </is>
      </c>
      <c r="J6" s="19" t="inlineStr">
        <is>
          <t>Rumour and Storm</t>
        </is>
      </c>
      <c r="K6" s="19" t="inlineStr">
        <is>
          <t>Whisper from the High Reach</t>
        </is>
      </c>
      <c r="M6" s="20" t="inlineStr">
        <is>
          <t>Power 3 — shared by every hero of the same SECONDARY type.</t>
        </is>
      </c>
    </row>
    <row r="7">
      <c r="A7" t="n">
        <v>6</v>
      </c>
      <c r="B7" t="inlineStr">
        <is>
          <t>Ranged</t>
        </is>
      </c>
      <c r="C7" t="inlineStr">
        <is>
          <t>Vael</t>
        </is>
      </c>
      <c r="D7" t="inlineStr">
        <is>
          <t>Air</t>
        </is>
      </c>
      <c r="E7" t="inlineStr">
        <is>
          <t>Dark</t>
        </is>
      </c>
      <c r="F7" s="16" t="inlineStr">
        <is>
          <t>Cutting Gale</t>
        </is>
      </c>
      <c r="G7" s="17" t="inlineStr">
        <is>
          <t>Thin the Air</t>
        </is>
      </c>
      <c r="H7" s="17" t="inlineStr">
        <is>
          <t>The Sky Unmoored</t>
        </is>
      </c>
      <c r="I7" s="18" t="inlineStr">
        <is>
          <t>The Silence Lends Cover</t>
        </is>
      </c>
      <c r="J7" s="19" t="inlineStr">
        <is>
          <t>Jump First</t>
        </is>
      </c>
      <c r="K7" s="19" t="inlineStr">
        <is>
          <t>Nothing to Catch You</t>
        </is>
      </c>
      <c r="M7" s="20" t="inlineStr">
        <is>
          <t>Only 6 names: melee always takes an arcane secondary, so no</t>
        </is>
      </c>
    </row>
    <row r="8">
      <c r="A8" t="n">
        <v>7</v>
      </c>
      <c r="B8" t="inlineStr">
        <is>
          <t>Striker</t>
        </is>
      </c>
      <c r="C8" t="inlineStr">
        <is>
          <t>Ember Saelith</t>
        </is>
      </c>
      <c r="D8" t="inlineStr">
        <is>
          <t>Fire</t>
        </is>
      </c>
      <c r="E8" t="inlineStr">
        <is>
          <t>Air</t>
        </is>
      </c>
      <c r="F8" s="16" t="inlineStr">
        <is>
          <t>Ember Lash</t>
        </is>
      </c>
      <c r="G8" s="17" t="inlineStr">
        <is>
          <t>Feed the Bloom</t>
        </is>
      </c>
      <c r="H8" s="17" t="inlineStr">
        <is>
          <t>Everything Burns Twice</t>
        </is>
      </c>
      <c r="I8" s="18" t="inlineStr">
        <is>
          <t>The Sky Lends Swiftness</t>
        </is>
      </c>
      <c r="J8" s="19" t="inlineStr">
        <is>
          <t>The Room Warms</t>
        </is>
      </c>
      <c r="K8" s="19" t="inlineStr">
        <is>
          <t>First Spark, Last Laugh</t>
        </is>
      </c>
      <c r="M8" s="20" t="inlineStr">
        <is>
          <t>melee type ever appears here.</t>
        </is>
      </c>
    </row>
    <row r="9">
      <c r="A9" t="n">
        <v>8</v>
      </c>
      <c r="B9" t="inlineStr">
        <is>
          <t>Ranged</t>
        </is>
      </c>
      <c r="C9" t="inlineStr">
        <is>
          <t>Pyrrhic</t>
        </is>
      </c>
      <c r="D9" t="inlineStr">
        <is>
          <t>Fire</t>
        </is>
      </c>
      <c r="E9" t="inlineStr">
        <is>
          <t>Light</t>
        </is>
      </c>
      <c r="F9" s="16" t="inlineStr">
        <is>
          <t>Ember Lash</t>
        </is>
      </c>
      <c r="G9" s="17" t="inlineStr">
        <is>
          <t>Feed the Bloom</t>
        </is>
      </c>
      <c r="H9" s="17" t="inlineStr">
        <is>
          <t>Everything Burns Twice</t>
        </is>
      </c>
      <c r="I9" s="18" t="inlineStr">
        <is>
          <t>The Word Lends Sight</t>
        </is>
      </c>
      <c r="J9" s="19" t="inlineStr">
        <is>
          <t>Less Left to Lose</t>
        </is>
      </c>
      <c r="K9" s="19" t="inlineStr">
        <is>
          <t>Glad Ruin</t>
        </is>
      </c>
      <c r="M9" s="20" t="inlineStr">
        <is>
          <t>Powers 4-5 — unique to the hero. 54 names, the identity layer.</t>
        </is>
      </c>
    </row>
    <row r="10">
      <c r="A10" t="n">
        <v>9</v>
      </c>
      <c r="B10" t="inlineStr">
        <is>
          <t>Ranged</t>
        </is>
      </c>
      <c r="C10" t="inlineStr">
        <is>
          <t>Cindara</t>
        </is>
      </c>
      <c r="D10" t="inlineStr">
        <is>
          <t>Fire</t>
        </is>
      </c>
      <c r="E10" t="inlineStr">
        <is>
          <t>Earth</t>
        </is>
      </c>
      <c r="F10" s="16" t="inlineStr">
        <is>
          <t>Ember Lash</t>
        </is>
      </c>
      <c r="G10" s="17" t="inlineStr">
        <is>
          <t>Feed the Bloom</t>
        </is>
      </c>
      <c r="H10" s="17" t="inlineStr">
        <is>
          <t>Everything Burns Twice</t>
        </is>
      </c>
      <c r="I10" s="18" t="inlineStr">
        <is>
          <t>The Deep Lends Weight</t>
        </is>
      </c>
      <c r="J10" s="19" t="inlineStr">
        <is>
          <t>The Coal, Not the Flame</t>
        </is>
      </c>
      <c r="K10" s="19" t="inlineStr">
        <is>
          <t>The Long Burn</t>
        </is>
      </c>
      <c r="M10" s="20" t="inlineStr"/>
    </row>
    <row r="11">
      <c r="A11" t="n">
        <v>10</v>
      </c>
      <c r="B11" t="inlineStr">
        <is>
          <t>Striker</t>
        </is>
      </c>
      <c r="C11" t="inlineStr">
        <is>
          <t>Marisel</t>
        </is>
      </c>
      <c r="D11" t="inlineStr">
        <is>
          <t>Water</t>
        </is>
      </c>
      <c r="E11" t="inlineStr">
        <is>
          <t>Dark</t>
        </is>
      </c>
      <c r="F11" s="16" t="inlineStr">
        <is>
          <t>Undertow</t>
        </is>
      </c>
      <c r="G11" s="17" t="inlineStr">
        <is>
          <t>Wear the Stone</t>
        </is>
      </c>
      <c r="H11" s="17" t="inlineStr">
        <is>
          <t>The Tide Remembers</t>
        </is>
      </c>
      <c r="I11" s="18" t="inlineStr">
        <is>
          <t>The Silence Lends Cover</t>
        </is>
      </c>
      <c r="J11" s="19" t="inlineStr">
        <is>
          <t>Your Own Past, Rising</t>
        </is>
      </c>
      <c r="K11" s="19" t="inlineStr">
        <is>
          <t>Drown in What You Did</t>
        </is>
      </c>
      <c r="M11" s="20" t="inlineStr">
        <is>
          <t>Effects, costs and cooldowns are drafted on the Power List sheet —</t>
        </is>
      </c>
    </row>
    <row r="12">
      <c r="A12" t="n">
        <v>11</v>
      </c>
      <c r="B12" t="inlineStr">
        <is>
          <t>Ranged</t>
        </is>
      </c>
      <c r="C12" t="inlineStr">
        <is>
          <t>Tidewarden Coll</t>
        </is>
      </c>
      <c r="D12" t="inlineStr">
        <is>
          <t>Water</t>
        </is>
      </c>
      <c r="E12" t="inlineStr">
        <is>
          <t>Earth</t>
        </is>
      </c>
      <c r="F12" s="16" t="inlineStr">
        <is>
          <t>Undertow</t>
        </is>
      </c>
      <c r="G12" s="17" t="inlineStr">
        <is>
          <t>Wear the Stone</t>
        </is>
      </c>
      <c r="H12" s="17" t="inlineStr">
        <is>
          <t>The Tide Remembers</t>
        </is>
      </c>
      <c r="I12" s="18" t="inlineStr">
        <is>
          <t>The Deep Lends Weight</t>
        </is>
      </c>
      <c r="J12" s="19" t="inlineStr">
        <is>
          <t>Give Ground, Take Coast</t>
        </is>
      </c>
      <c r="K12" s="19" t="inlineStr">
        <is>
          <t>The Bulwark Holds</t>
        </is>
      </c>
      <c r="M12" s="20" t="inlineStr">
        <is>
          <t>see mechanics/03-powers.md when it exists.</t>
        </is>
      </c>
    </row>
    <row r="13">
      <c r="A13" t="n">
        <v>12</v>
      </c>
      <c r="B13" t="inlineStr">
        <is>
          <t>Ranged</t>
        </is>
      </c>
      <c r="C13" t="inlineStr">
        <is>
          <t>Nix</t>
        </is>
      </c>
      <c r="D13" t="inlineStr">
        <is>
          <t>Water</t>
        </is>
      </c>
      <c r="E13" t="inlineStr">
        <is>
          <t>Air</t>
        </is>
      </c>
      <c r="F13" s="16" t="inlineStr">
        <is>
          <t>Undertow</t>
        </is>
      </c>
      <c r="G13" s="17" t="inlineStr">
        <is>
          <t>Wear the Stone</t>
        </is>
      </c>
      <c r="H13" s="17" t="inlineStr">
        <is>
          <t>The Tide Remembers</t>
        </is>
      </c>
      <c r="I13" s="18" t="inlineStr">
        <is>
          <t>The Sky Lends Swiftness</t>
        </is>
      </c>
      <c r="J13" s="19" t="inlineStr">
        <is>
          <t>Perfectly Calm</t>
        </is>
      </c>
      <c r="K13" s="19" t="inlineStr">
        <is>
          <t>The Still Pool Closes</t>
        </is>
      </c>
    </row>
    <row r="14">
      <c r="A14" t="n">
        <v>13</v>
      </c>
      <c r="B14" t="inlineStr">
        <is>
          <t>Striker</t>
        </is>
      </c>
      <c r="C14" t="inlineStr">
        <is>
          <t>Seraphel</t>
        </is>
      </c>
      <c r="D14" t="inlineStr">
        <is>
          <t>Light</t>
        </is>
      </c>
      <c r="E14" t="inlineStr">
        <is>
          <t>Fire</t>
        </is>
      </c>
      <c r="F14" s="16" t="inlineStr">
        <is>
          <t>Verdict Light</t>
        </is>
      </c>
      <c r="G14" s="17" t="inlineStr">
        <is>
          <t>Nothing Hidden</t>
        </is>
      </c>
      <c r="H14" s="17" t="inlineStr">
        <is>
          <t>The First Word Spoken</t>
        </is>
      </c>
      <c r="I14" s="18" t="inlineStr">
        <is>
          <t>The Bloom Lends Heat</t>
        </is>
      </c>
      <c r="J14" s="19" t="inlineStr">
        <is>
          <t>The Gaze Accuses</t>
        </is>
      </c>
      <c r="K14" s="19" t="inlineStr">
        <is>
          <t>Sentence Passed</t>
        </is>
      </c>
    </row>
    <row r="15">
      <c r="A15" t="n">
        <v>14</v>
      </c>
      <c r="B15" t="inlineStr">
        <is>
          <t>Buffer</t>
        </is>
      </c>
      <c r="C15" t="inlineStr">
        <is>
          <t>Lucen</t>
        </is>
      </c>
      <c r="D15" t="inlineStr">
        <is>
          <t>Light</t>
        </is>
      </c>
      <c r="E15" t="inlineStr">
        <is>
          <t>Air</t>
        </is>
      </c>
      <c r="F15" s="16" t="inlineStr">
        <is>
          <t>Verdict Light</t>
        </is>
      </c>
      <c r="G15" s="17" t="inlineStr">
        <is>
          <t>Nothing Hidden</t>
        </is>
      </c>
      <c r="H15" s="17" t="inlineStr">
        <is>
          <t>The First Word Spoken</t>
        </is>
      </c>
      <c r="I15" s="18" t="inlineStr">
        <is>
          <t>The Sky Lends Swiftness</t>
        </is>
      </c>
      <c r="J15" s="19" t="inlineStr">
        <is>
          <t>Three Beams, No Shadow</t>
        </is>
      </c>
      <c r="K15" s="19" t="inlineStr">
        <is>
          <t>The Unhidden Hour</t>
        </is>
      </c>
    </row>
    <row r="16">
      <c r="A16" t="n">
        <v>15</v>
      </c>
      <c r="B16" t="inlineStr">
        <is>
          <t>Tank</t>
        </is>
      </c>
      <c r="C16" t="inlineStr">
        <is>
          <t>Auriel Dawnkeep</t>
        </is>
      </c>
      <c r="D16" t="inlineStr">
        <is>
          <t>Light</t>
        </is>
      </c>
      <c r="E16" t="inlineStr">
        <is>
          <t>Water</t>
        </is>
      </c>
      <c r="F16" s="16" t="inlineStr">
        <is>
          <t>Verdict Light</t>
        </is>
      </c>
      <c r="G16" s="17" t="inlineStr">
        <is>
          <t>Nothing Hidden</t>
        </is>
      </c>
      <c r="H16" s="17" t="inlineStr">
        <is>
          <t>The First Word Spoken</t>
        </is>
      </c>
      <c r="I16" s="18" t="inlineStr">
        <is>
          <t>The Tide Lends Patience</t>
        </is>
      </c>
      <c r="J16" s="19" t="inlineStr">
        <is>
          <t>The Lantern Holds</t>
        </is>
      </c>
      <c r="K16" s="19" t="inlineStr">
        <is>
          <t>Last Light on the Wall</t>
        </is>
      </c>
    </row>
    <row r="17">
      <c r="A17" t="n">
        <v>16</v>
      </c>
      <c r="B17" t="inlineStr">
        <is>
          <t>Striker</t>
        </is>
      </c>
      <c r="C17" t="inlineStr">
        <is>
          <t>Nyxara</t>
        </is>
      </c>
      <c r="D17" t="inlineStr">
        <is>
          <t>Dark</t>
        </is>
      </c>
      <c r="E17" t="inlineStr">
        <is>
          <t>Water</t>
        </is>
      </c>
      <c r="F17" s="16" t="inlineStr">
        <is>
          <t>Veilcut</t>
        </is>
      </c>
      <c r="G17" s="17" t="inlineStr">
        <is>
          <t>Draw the Veil</t>
        </is>
      </c>
      <c r="H17" s="17" t="inlineStr">
        <is>
          <t>The Last Silence</t>
        </is>
      </c>
      <c r="I17" s="18" t="inlineStr">
        <is>
          <t>The Tide Lends Patience</t>
        </is>
      </c>
      <c r="J17" s="19" t="inlineStr">
        <is>
          <t>A Kindness, Ending</t>
        </is>
      </c>
      <c r="K17" s="19" t="inlineStr">
        <is>
          <t>Mercy at the End</t>
        </is>
      </c>
    </row>
    <row r="18">
      <c r="A18" t="n">
        <v>17</v>
      </c>
      <c r="B18" t="inlineStr">
        <is>
          <t>Buffer</t>
        </is>
      </c>
      <c r="C18" t="inlineStr">
        <is>
          <t>Umbriel</t>
        </is>
      </c>
      <c r="D18" t="inlineStr">
        <is>
          <t>Dark</t>
        </is>
      </c>
      <c r="E18" t="inlineStr">
        <is>
          <t>Fire</t>
        </is>
      </c>
      <c r="F18" s="16" t="inlineStr">
        <is>
          <t>Veilcut</t>
        </is>
      </c>
      <c r="G18" s="17" t="inlineStr">
        <is>
          <t>Draw the Veil</t>
        </is>
      </c>
      <c r="H18" s="17" t="inlineStr">
        <is>
          <t>The Last Silence</t>
        </is>
      </c>
      <c r="I18" s="18" t="inlineStr">
        <is>
          <t>The Bloom Lends Heat</t>
        </is>
      </c>
      <c r="J18" s="19" t="inlineStr">
        <is>
          <t>Unwrite the Line</t>
        </is>
      </c>
      <c r="K18" s="19" t="inlineStr">
        <is>
          <t>The Undoing</t>
        </is>
      </c>
    </row>
    <row r="19">
      <c r="A19" t="n">
        <v>18</v>
      </c>
      <c r="B19" t="inlineStr">
        <is>
          <t>Tank</t>
        </is>
      </c>
      <c r="C19" t="inlineStr">
        <is>
          <t>Corvane</t>
        </is>
      </c>
      <c r="D19" t="inlineStr">
        <is>
          <t>Dark</t>
        </is>
      </c>
      <c r="E19" t="inlineStr">
        <is>
          <t>Earth</t>
        </is>
      </c>
      <c r="F19" s="16" t="inlineStr">
        <is>
          <t>Veilcut</t>
        </is>
      </c>
      <c r="G19" s="17" t="inlineStr">
        <is>
          <t>Draw the Veil</t>
        </is>
      </c>
      <c r="H19" s="17" t="inlineStr">
        <is>
          <t>The Last Silence</t>
        </is>
      </c>
      <c r="I19" s="18" t="inlineStr">
        <is>
          <t>The Deep Lends Weight</t>
        </is>
      </c>
      <c r="J19" s="19" t="inlineStr">
        <is>
          <t>I Know Your Hour</t>
        </is>
      </c>
      <c r="K19" s="19" t="inlineStr">
        <is>
          <t>Shepherd of Endings</t>
        </is>
      </c>
    </row>
    <row r="20">
      <c r="A20" t="n">
        <v>19</v>
      </c>
      <c r="B20" t="inlineStr">
        <is>
          <t>Striker</t>
        </is>
      </c>
      <c r="C20" t="inlineStr">
        <is>
          <t>Kaellis</t>
        </is>
      </c>
      <c r="D20" t="inlineStr">
        <is>
          <t>Slash</t>
        </is>
      </c>
      <c r="E20" t="inlineStr">
        <is>
          <t>Light</t>
        </is>
      </c>
      <c r="F20" s="16" t="inlineStr">
        <is>
          <t>Open Line</t>
        </is>
      </c>
      <c r="G20" s="17" t="inlineStr">
        <is>
          <t>Riposte</t>
        </is>
      </c>
      <c r="H20" s="17" t="inlineStr">
        <is>
          <t>One Clean Stroke</t>
        </is>
      </c>
      <c r="I20" s="18" t="inlineStr">
        <is>
          <t>The Word Lends Sight</t>
        </is>
      </c>
      <c r="J20" s="19" t="inlineStr">
        <is>
          <t>Never Twice</t>
        </is>
      </c>
      <c r="K20" s="19" t="inlineStr">
        <is>
          <t>Immaculate</t>
        </is>
      </c>
    </row>
    <row r="21">
      <c r="A21" t="n">
        <v>20</v>
      </c>
      <c r="B21" t="inlineStr">
        <is>
          <t>Striker</t>
        </is>
      </c>
      <c r="C21" t="inlineStr">
        <is>
          <t>Reyna Two-Rivers</t>
        </is>
      </c>
      <c r="D21" t="inlineStr">
        <is>
          <t>Slash</t>
        </is>
      </c>
      <c r="E21" t="inlineStr">
        <is>
          <t>Water</t>
        </is>
      </c>
      <c r="F21" s="16" t="inlineStr">
        <is>
          <t>Open Line</t>
        </is>
      </c>
      <c r="G21" s="17" t="inlineStr">
        <is>
          <t>Riposte</t>
        </is>
      </c>
      <c r="H21" s="17" t="inlineStr">
        <is>
          <t>One Clean Stroke</t>
        </is>
      </c>
      <c r="I21" s="18" t="inlineStr">
        <is>
          <t>The Tide Lends Patience</t>
        </is>
      </c>
      <c r="J21" s="19" t="inlineStr">
        <is>
          <t>Two Rivers Meeting</t>
        </is>
      </c>
      <c r="K21" s="19" t="inlineStr">
        <is>
          <t>The Current Takes All</t>
        </is>
      </c>
    </row>
    <row r="22">
      <c r="A22" t="n">
        <v>21</v>
      </c>
      <c r="B22" t="inlineStr">
        <is>
          <t>Tank</t>
        </is>
      </c>
      <c r="C22" t="inlineStr">
        <is>
          <t>Grieve</t>
        </is>
      </c>
      <c r="D22" t="inlineStr">
        <is>
          <t>Slash</t>
        </is>
      </c>
      <c r="E22" t="inlineStr">
        <is>
          <t>Dark</t>
        </is>
      </c>
      <c r="F22" s="16" t="inlineStr">
        <is>
          <t>Open Line</t>
        </is>
      </c>
      <c r="G22" s="17" t="inlineStr">
        <is>
          <t>Riposte</t>
        </is>
      </c>
      <c r="H22" s="17" t="inlineStr">
        <is>
          <t>One Clean Stroke</t>
        </is>
      </c>
      <c r="I22" s="18" t="inlineStr">
        <is>
          <t>The Silence Lends Cover</t>
        </is>
      </c>
      <c r="J22" s="19" t="inlineStr">
        <is>
          <t>Clear the Room</t>
        </is>
      </c>
      <c r="K22" s="19" t="inlineStr">
        <is>
          <t>The Wide Reaping</t>
        </is>
      </c>
    </row>
    <row r="23">
      <c r="A23" t="n">
        <v>22</v>
      </c>
      <c r="B23" t="inlineStr">
        <is>
          <t>Striker</t>
        </is>
      </c>
      <c r="C23" t="inlineStr">
        <is>
          <t>Vantric</t>
        </is>
      </c>
      <c r="D23" t="inlineStr">
        <is>
          <t>Pierce</t>
        </is>
      </c>
      <c r="E23" t="inlineStr">
        <is>
          <t>Air</t>
        </is>
      </c>
      <c r="F23" s="16" t="inlineStr">
        <is>
          <t>Seamfinder</t>
        </is>
      </c>
      <c r="G23" s="17" t="inlineStr">
        <is>
          <t>Thread the Guard</t>
        </is>
      </c>
      <c r="H23" s="17" t="inlineStr">
        <is>
          <t>The Single Truth</t>
        </is>
      </c>
      <c r="I23" s="18" t="inlineStr">
        <is>
          <t>The Sky Lends Swiftness</t>
        </is>
      </c>
      <c r="J23" s="19" t="inlineStr">
        <is>
          <t>The One Gap</t>
        </is>
      </c>
      <c r="K23" s="19" t="inlineStr">
        <is>
          <t>The Spear Finds It</t>
        </is>
      </c>
    </row>
    <row r="24">
      <c r="A24" t="n">
        <v>23</v>
      </c>
      <c r="B24" t="inlineStr">
        <is>
          <t>Striker</t>
        </is>
      </c>
      <c r="C24" t="inlineStr">
        <is>
          <t>Silka Pinquick</t>
        </is>
      </c>
      <c r="D24" t="inlineStr">
        <is>
          <t>Pierce</t>
        </is>
      </c>
      <c r="E24" t="inlineStr">
        <is>
          <t>Dark</t>
        </is>
      </c>
      <c r="F24" s="16" t="inlineStr">
        <is>
          <t>Seamfinder</t>
        </is>
      </c>
      <c r="G24" s="17" t="inlineStr">
        <is>
          <t>Thread the Guard</t>
        </is>
      </c>
      <c r="H24" s="17" t="inlineStr">
        <is>
          <t>The Single Truth</t>
        </is>
      </c>
      <c r="I24" s="18" t="inlineStr">
        <is>
          <t>The Silence Lends Cover</t>
        </is>
      </c>
      <c r="J24" s="19" t="inlineStr">
        <is>
          <t>Already Behind You</t>
        </is>
      </c>
      <c r="K24" s="19" t="inlineStr">
        <is>
          <t>Quicker Than Told</t>
        </is>
      </c>
    </row>
    <row r="25">
      <c r="A25" t="n">
        <v>24</v>
      </c>
      <c r="B25" t="inlineStr">
        <is>
          <t>Tank</t>
        </is>
      </c>
      <c r="C25" t="inlineStr">
        <is>
          <t>Lord Aiguille</t>
        </is>
      </c>
      <c r="D25" t="inlineStr">
        <is>
          <t>Pierce</t>
        </is>
      </c>
      <c r="E25" t="inlineStr">
        <is>
          <t>Light</t>
        </is>
      </c>
      <c r="F25" s="16" t="inlineStr">
        <is>
          <t>Seamfinder</t>
        </is>
      </c>
      <c r="G25" s="17" t="inlineStr">
        <is>
          <t>Thread the Guard</t>
        </is>
      </c>
      <c r="H25" s="17" t="inlineStr">
        <is>
          <t>The Single Truth</t>
        </is>
      </c>
      <c r="I25" s="18" t="inlineStr">
        <is>
          <t>The Word Lends Sight</t>
        </is>
      </c>
      <c r="J25" s="19" t="inlineStr">
        <is>
          <t>Before You Decide</t>
        </is>
      </c>
      <c r="K25" s="19" t="inlineStr">
        <is>
          <t>The Long Point</t>
        </is>
      </c>
    </row>
    <row r="26">
      <c r="A26" t="n">
        <v>25</v>
      </c>
      <c r="B26" t="inlineStr">
        <is>
          <t>Striker</t>
        </is>
      </c>
      <c r="C26" t="inlineStr">
        <is>
          <t>Boldrek</t>
        </is>
      </c>
      <c r="D26" t="inlineStr">
        <is>
          <t>Crush</t>
        </is>
      </c>
      <c r="E26" t="inlineStr">
        <is>
          <t>Light</t>
        </is>
      </c>
      <c r="F26" s="16" t="inlineStr">
        <is>
          <t>Deadweight</t>
        </is>
      </c>
      <c r="G26" s="17" t="inlineStr">
        <is>
          <t>Make an Opening</t>
        </is>
      </c>
      <c r="H26" s="17" t="inlineStr">
        <is>
          <t>The Sky Falls</t>
        </is>
      </c>
      <c r="I26" s="18" t="inlineStr">
        <is>
          <t>The Word Lends Sight</t>
        </is>
      </c>
      <c r="J26" s="19" t="inlineStr">
        <is>
          <t>All At Once</t>
        </is>
      </c>
      <c r="K26" s="19" t="inlineStr">
        <is>
          <t>Avalanche</t>
        </is>
      </c>
    </row>
    <row r="27">
      <c r="A27" t="n">
        <v>26</v>
      </c>
      <c r="B27" t="inlineStr">
        <is>
          <t>Striker</t>
        </is>
      </c>
      <c r="C27" t="inlineStr">
        <is>
          <t>Hettamar Ironfall</t>
        </is>
      </c>
      <c r="D27" t="inlineStr">
        <is>
          <t>Crush</t>
        </is>
      </c>
      <c r="E27" t="inlineStr">
        <is>
          <t>Dark</t>
        </is>
      </c>
      <c r="F27" s="16" t="inlineStr">
        <is>
          <t>Deadweight</t>
        </is>
      </c>
      <c r="G27" s="17" t="inlineStr">
        <is>
          <t>Make an Opening</t>
        </is>
      </c>
      <c r="H27" s="17" t="inlineStr">
        <is>
          <t>The Sky Falls</t>
        </is>
      </c>
      <c r="I27" s="18" t="inlineStr">
        <is>
          <t>The Silence Lends Cover</t>
        </is>
      </c>
      <c r="J27" s="19" t="inlineStr">
        <is>
          <t>End of Argument</t>
        </is>
      </c>
      <c r="K27" s="19" t="inlineStr">
        <is>
          <t>Ironfall</t>
        </is>
      </c>
    </row>
    <row r="28">
      <c r="A28" t="n">
        <v>27</v>
      </c>
      <c r="B28" t="inlineStr">
        <is>
          <t>Tank</t>
        </is>
      </c>
      <c r="C28" t="inlineStr">
        <is>
          <t>Mauless</t>
        </is>
      </c>
      <c r="D28" t="inlineStr">
        <is>
          <t>Crush</t>
        </is>
      </c>
      <c r="E28" t="inlineStr">
        <is>
          <t>Earth</t>
        </is>
      </c>
      <c r="F28" s="16" t="inlineStr">
        <is>
          <t>Deadweight</t>
        </is>
      </c>
      <c r="G28" s="17" t="inlineStr">
        <is>
          <t>Make an Opening</t>
        </is>
      </c>
      <c r="H28" s="17" t="inlineStr">
        <is>
          <t>The Sky Falls</t>
        </is>
      </c>
      <c r="I28" s="18" t="inlineStr">
        <is>
          <t>The Deep Lends Weight</t>
        </is>
      </c>
      <c r="J28" s="19" t="inlineStr">
        <is>
          <t>Guards Break First</t>
        </is>
      </c>
      <c r="K28" s="19" t="inlineStr">
        <is>
          <t>The Undenied</t>
        </is>
      </c>
    </row>
  </sheetData>
  <autoFilter ref="A1:K2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style="13" min="1" max="1"/>
    <col width="9" customWidth="1" style="13" min="2" max="2"/>
    <col width="11" customWidth="1" style="13" min="3" max="3"/>
    <col width="18" customWidth="1" style="13" min="4" max="4"/>
    <col width="46" customWidth="1" style="13" min="5" max="5"/>
    <col width="90" customWidth="1" style="13" min="6" max="6"/>
    <col width="66" customWidth="1" style="13" min="8" max="8"/>
  </cols>
  <sheetData>
    <row r="1" ht="30" customHeight="1" s="13">
      <c r="A1" s="14" t="inlineStr">
        <is>
          <t>Power</t>
        </is>
      </c>
      <c r="B1" s="14" t="inlineStr">
        <is>
          <t>Tier</t>
        </is>
      </c>
      <c r="C1" s="14" t="inlineStr">
        <is>
          <t>Shared via</t>
        </is>
      </c>
      <c r="D1" s="14" t="inlineStr">
        <is>
          <t>Elements</t>
        </is>
      </c>
      <c r="E1" s="14" t="inlineStr">
        <is>
          <t>Heroes</t>
        </is>
      </c>
      <c r="F1" s="14" t="inlineStr">
        <is>
          <t>Prompt — what does it do?</t>
        </is>
      </c>
      <c r="H1" s="15" t="inlineStr">
        <is>
          <t>ONE ROW PER DISTINCT POWER</t>
        </is>
      </c>
    </row>
    <row r="2">
      <c r="A2" s="21" t="inlineStr">
        <is>
          <t>Sundered Ground</t>
        </is>
      </c>
      <c r="B2" s="22" t="inlineStr">
        <is>
          <t>0 — auto</t>
        </is>
      </c>
      <c r="C2" s="22" t="inlineStr">
        <is>
          <t>Primary</t>
        </is>
      </c>
      <c r="D2" t="inlineStr">
        <is>
          <t>Earth</t>
        </is>
      </c>
      <c r="E2" s="23" t="inlineStr">
        <is>
          <t>Bramwen (Striker) · Ossic (Tank) · Terragosa (Tank)</t>
        </is>
      </c>
      <c r="F2" s="23" t="n"/>
      <c r="H2" s="20" t="inlineStr">
        <is>
          <t>87 names: 27 shared by primary type (tiers 0-2), 6 shared by</t>
        </is>
      </c>
    </row>
    <row r="3">
      <c r="A3" s="21" t="inlineStr">
        <is>
          <t>Cutting Gale</t>
        </is>
      </c>
      <c r="B3" s="22" t="inlineStr">
        <is>
          <t>0 — auto</t>
        </is>
      </c>
      <c r="C3" s="22" t="inlineStr">
        <is>
          <t>Primary</t>
        </is>
      </c>
      <c r="D3" t="inlineStr">
        <is>
          <t>Air</t>
        </is>
      </c>
      <c r="E3" s="23" t="inlineStr">
        <is>
          <t>Zephyrine (Striker) · Cirrolan (Buffer) · Vael (Ranged)</t>
        </is>
      </c>
      <c r="F3" s="23" t="n"/>
      <c r="H3" s="20" t="inlineStr">
        <is>
          <t>secondary type (tier 3), 54 unique to a hero (tiers 4-5).</t>
        </is>
      </c>
    </row>
    <row r="4">
      <c r="A4" s="21" t="inlineStr">
        <is>
          <t>Ember Lash</t>
        </is>
      </c>
      <c r="B4" s="22" t="inlineStr">
        <is>
          <t>0 — auto</t>
        </is>
      </c>
      <c r="C4" s="22" t="inlineStr">
        <is>
          <t>Primary</t>
        </is>
      </c>
      <c r="D4" t="inlineStr">
        <is>
          <t>Fire</t>
        </is>
      </c>
      <c r="E4" s="23" t="inlineStr">
        <is>
          <t>Ember Saelith (Striker) · Pyrrhic (Ranged) · Cindara (Ranged)</t>
        </is>
      </c>
      <c r="F4" s="23" t="n"/>
      <c r="H4" s="20" t="inlineStr"/>
    </row>
    <row r="5">
      <c r="A5" s="21" t="inlineStr">
        <is>
          <t>Undertow</t>
        </is>
      </c>
      <c r="B5" s="22" t="inlineStr">
        <is>
          <t>0 — auto</t>
        </is>
      </c>
      <c r="C5" s="22" t="inlineStr">
        <is>
          <t>Primary</t>
        </is>
      </c>
      <c r="D5" t="inlineStr">
        <is>
          <t>Water</t>
        </is>
      </c>
      <c r="E5" s="23" t="inlineStr">
        <is>
          <t>Marisel (Striker) · Tidewarden Coll (Ranged) · Nix (Ranged)</t>
        </is>
      </c>
      <c r="F5" s="23" t="n"/>
      <c r="H5" s="20" t="inlineStr">
        <is>
          <t>Elements — the type that grants the power. For a unique power</t>
        </is>
      </c>
    </row>
    <row r="6">
      <c r="A6" s="21" t="inlineStr">
        <is>
          <t>Verdict Light</t>
        </is>
      </c>
      <c r="B6" s="22" t="inlineStr">
        <is>
          <t>0 — auto</t>
        </is>
      </c>
      <c r="C6" s="22" t="inlineStr">
        <is>
          <t>Primary</t>
        </is>
      </c>
      <c r="D6" t="inlineStr">
        <is>
          <t>Light</t>
        </is>
      </c>
      <c r="E6" s="23" t="inlineStr">
        <is>
          <t>Seraphel (Striker) · Lucen (Buffer) · Auriel Dawnkeep (Tank)</t>
        </is>
      </c>
      <c r="F6" s="23" t="n"/>
      <c r="H6" s="20" t="inlineStr">
        <is>
          <t>that is the owner's primary and secondary both.</t>
        </is>
      </c>
    </row>
    <row r="7">
      <c r="A7" s="21" t="inlineStr">
        <is>
          <t>Veilcut</t>
        </is>
      </c>
      <c r="B7" s="22" t="inlineStr">
        <is>
          <t>0 — auto</t>
        </is>
      </c>
      <c r="C7" s="22" t="inlineStr">
        <is>
          <t>Primary</t>
        </is>
      </c>
      <c r="D7" t="inlineStr">
        <is>
          <t>Dark</t>
        </is>
      </c>
      <c r="E7" s="23" t="inlineStr">
        <is>
          <t>Nyxara (Striker) · Umbriel (Buffer) · Corvane (Tank)</t>
        </is>
      </c>
      <c r="F7" s="23" t="n"/>
      <c r="H7" s="20" t="inlineStr">
        <is>
          <t>Heroes — every hero that gets this power, with its role, since</t>
        </is>
      </c>
    </row>
    <row r="8">
      <c r="A8" s="21" t="inlineStr">
        <is>
          <t>Open Line</t>
        </is>
      </c>
      <c r="B8" s="22" t="inlineStr">
        <is>
          <t>0 — auto</t>
        </is>
      </c>
      <c r="C8" s="22" t="inlineStr">
        <is>
          <t>Primary</t>
        </is>
      </c>
      <c r="D8" t="inlineStr">
        <is>
          <t>Slash</t>
        </is>
      </c>
      <c r="E8" s="23" t="inlineStr">
        <is>
          <t>Kaellis (Striker) · Reyna Two-Rivers (Striker) · Grieve (Tank)</t>
        </is>
      </c>
      <c r="F8" s="23" t="n"/>
      <c r="H8" s="20" t="inlineStr">
        <is>
          <t>a shared power has to read well for all of them at once.</t>
        </is>
      </c>
    </row>
    <row r="9">
      <c r="A9" s="21" t="inlineStr">
        <is>
          <t>Seamfinder</t>
        </is>
      </c>
      <c r="B9" s="22" t="inlineStr">
        <is>
          <t>0 — auto</t>
        </is>
      </c>
      <c r="C9" s="22" t="inlineStr">
        <is>
          <t>Primary</t>
        </is>
      </c>
      <c r="D9" t="inlineStr">
        <is>
          <t>Pierce</t>
        </is>
      </c>
      <c r="E9" s="23" t="inlineStr">
        <is>
          <t>Vantric (Striker) · Silka Pinquick (Striker) · Lord Aiguille (Tank)</t>
        </is>
      </c>
      <c r="F9" s="23" t="n"/>
      <c r="H9" s="20" t="inlineStr"/>
    </row>
    <row r="10">
      <c r="A10" s="21" t="inlineStr">
        <is>
          <t>Deadweight</t>
        </is>
      </c>
      <c r="B10" s="22" t="inlineStr">
        <is>
          <t>0 — auto</t>
        </is>
      </c>
      <c r="C10" s="22" t="inlineStr">
        <is>
          <t>Primary</t>
        </is>
      </c>
      <c r="D10" t="inlineStr">
        <is>
          <t>Crush</t>
        </is>
      </c>
      <c r="E10" s="23" t="inlineStr">
        <is>
          <t>Boldrek (Striker) · Hettamar Ironfall (Striker) · Mauless (Tank)</t>
        </is>
      </c>
      <c r="F10" s="23" t="n"/>
      <c r="H10" s="20" t="inlineStr">
        <is>
          <t>Prompt — free text: what the power should do. Prompts survive a</t>
        </is>
      </c>
    </row>
    <row r="11">
      <c r="A11" s="24" t="inlineStr">
        <is>
          <t>Root and Hold</t>
        </is>
      </c>
      <c r="B11" s="22" t="n">
        <v>1</v>
      </c>
      <c r="C11" s="22" t="inlineStr">
        <is>
          <t>Primary</t>
        </is>
      </c>
      <c r="D11" t="inlineStr">
        <is>
          <t>Earth</t>
        </is>
      </c>
      <c r="E11" s="23" t="inlineStr">
        <is>
          <t>Bramwen (Striker) · Ossic (Tank) · Terragosa (Tank)</t>
        </is>
      </c>
      <c r="F11" s="23" t="n"/>
      <c r="H11" s="20" t="inlineStr">
        <is>
          <t>rerun of tools/add-powers-sheet.py, matched on the power name.</t>
        </is>
      </c>
    </row>
    <row r="12">
      <c r="A12" s="24" t="inlineStr">
        <is>
          <t>Thin the Air</t>
        </is>
      </c>
      <c r="B12" s="22" t="n">
        <v>1</v>
      </c>
      <c r="C12" s="22" t="inlineStr">
        <is>
          <t>Primary</t>
        </is>
      </c>
      <c r="D12" t="inlineStr">
        <is>
          <t>Air</t>
        </is>
      </c>
      <c r="E12" s="23" t="inlineStr">
        <is>
          <t>Zephyrine (Striker) · Cirrolan (Buffer) · Vael (Ranged)</t>
        </is>
      </c>
      <c r="F12" s="23" t="n"/>
      <c r="H12" s="20" t="inlineStr">
        <is>
          <t>Rename a power and its prompt is orphaned, not moved.</t>
        </is>
      </c>
    </row>
    <row r="13">
      <c r="A13" s="24" t="inlineStr">
        <is>
          <t>Feed the Bloom</t>
        </is>
      </c>
      <c r="B13" s="22" t="n">
        <v>1</v>
      </c>
      <c r="C13" s="22" t="inlineStr">
        <is>
          <t>Primary</t>
        </is>
      </c>
      <c r="D13" t="inlineStr">
        <is>
          <t>Fire</t>
        </is>
      </c>
      <c r="E13" s="23" t="inlineStr">
        <is>
          <t>Ember Saelith (Striker) · Pyrrhic (Ranged) · Cindara (Ranged)</t>
        </is>
      </c>
      <c r="F13" s="23" t="n"/>
    </row>
    <row r="14">
      <c r="A14" s="24" t="inlineStr">
        <is>
          <t>Wear the Stone</t>
        </is>
      </c>
      <c r="B14" s="22" t="n">
        <v>1</v>
      </c>
      <c r="C14" s="22" t="inlineStr">
        <is>
          <t>Primary</t>
        </is>
      </c>
      <c r="D14" t="inlineStr">
        <is>
          <t>Water</t>
        </is>
      </c>
      <c r="E14" s="23" t="inlineStr">
        <is>
          <t>Marisel (Striker) · Tidewarden Coll (Ranged) · Nix (Ranged)</t>
        </is>
      </c>
      <c r="F14" s="23" t="n"/>
    </row>
    <row r="15">
      <c r="A15" s="24" t="inlineStr">
        <is>
          <t>Nothing Hidden</t>
        </is>
      </c>
      <c r="B15" s="22" t="n">
        <v>1</v>
      </c>
      <c r="C15" s="22" t="inlineStr">
        <is>
          <t>Primary</t>
        </is>
      </c>
      <c r="D15" t="inlineStr">
        <is>
          <t>Light</t>
        </is>
      </c>
      <c r="E15" s="23" t="inlineStr">
        <is>
          <t>Seraphel (Striker) · Lucen (Buffer) · Auriel Dawnkeep (Tank)</t>
        </is>
      </c>
      <c r="F15" s="23" t="n"/>
    </row>
    <row r="16">
      <c r="A16" s="24" t="inlineStr">
        <is>
          <t>Draw the Veil</t>
        </is>
      </c>
      <c r="B16" s="22" t="n">
        <v>1</v>
      </c>
      <c r="C16" s="22" t="inlineStr">
        <is>
          <t>Primary</t>
        </is>
      </c>
      <c r="D16" t="inlineStr">
        <is>
          <t>Dark</t>
        </is>
      </c>
      <c r="E16" s="23" t="inlineStr">
        <is>
          <t>Nyxara (Striker) · Umbriel (Buffer) · Corvane (Tank)</t>
        </is>
      </c>
      <c r="F16" s="23" t="n"/>
    </row>
    <row r="17">
      <c r="A17" s="24" t="inlineStr">
        <is>
          <t>Riposte</t>
        </is>
      </c>
      <c r="B17" s="22" t="n">
        <v>1</v>
      </c>
      <c r="C17" s="22" t="inlineStr">
        <is>
          <t>Primary</t>
        </is>
      </c>
      <c r="D17" t="inlineStr">
        <is>
          <t>Slash</t>
        </is>
      </c>
      <c r="E17" s="23" t="inlineStr">
        <is>
          <t>Kaellis (Striker) · Reyna Two-Rivers (Striker) · Grieve (Tank)</t>
        </is>
      </c>
      <c r="F17" s="23" t="n"/>
    </row>
    <row r="18">
      <c r="A18" s="24" t="inlineStr">
        <is>
          <t>Thread the Guard</t>
        </is>
      </c>
      <c r="B18" s="22" t="n">
        <v>1</v>
      </c>
      <c r="C18" s="22" t="inlineStr">
        <is>
          <t>Primary</t>
        </is>
      </c>
      <c r="D18" t="inlineStr">
        <is>
          <t>Pierce</t>
        </is>
      </c>
      <c r="E18" s="23" t="inlineStr">
        <is>
          <t>Vantric (Striker) · Silka Pinquick (Striker) · Lord Aiguille (Tank)</t>
        </is>
      </c>
      <c r="F18" s="23" t="n"/>
    </row>
    <row r="19">
      <c r="A19" s="24" t="inlineStr">
        <is>
          <t>Make an Opening</t>
        </is>
      </c>
      <c r="B19" s="22" t="n">
        <v>1</v>
      </c>
      <c r="C19" s="22" t="inlineStr">
        <is>
          <t>Primary</t>
        </is>
      </c>
      <c r="D19" t="inlineStr">
        <is>
          <t>Crush</t>
        </is>
      </c>
      <c r="E19" s="23" t="inlineStr">
        <is>
          <t>Boldrek (Striker) · Hettamar Ironfall (Striker) · Mauless (Tank)</t>
        </is>
      </c>
      <c r="F19" s="23" t="n"/>
    </row>
    <row r="20">
      <c r="A20" s="24" t="inlineStr">
        <is>
          <t>The Mountain Answers</t>
        </is>
      </c>
      <c r="B20" s="22" t="n">
        <v>2</v>
      </c>
      <c r="C20" s="22" t="inlineStr">
        <is>
          <t>Primary</t>
        </is>
      </c>
      <c r="D20" t="inlineStr">
        <is>
          <t>Earth</t>
        </is>
      </c>
      <c r="E20" s="23" t="inlineStr">
        <is>
          <t>Bramwen (Striker) · Ossic (Tank) · Terragosa (Tank)</t>
        </is>
      </c>
      <c r="F20" s="23" t="n"/>
    </row>
    <row r="21">
      <c r="A21" s="24" t="inlineStr">
        <is>
          <t>The Sky Unmoored</t>
        </is>
      </c>
      <c r="B21" s="22" t="n">
        <v>2</v>
      </c>
      <c r="C21" s="22" t="inlineStr">
        <is>
          <t>Primary</t>
        </is>
      </c>
      <c r="D21" t="inlineStr">
        <is>
          <t>Air</t>
        </is>
      </c>
      <c r="E21" s="23" t="inlineStr">
        <is>
          <t>Zephyrine (Striker) · Cirrolan (Buffer) · Vael (Ranged)</t>
        </is>
      </c>
      <c r="F21" s="23" t="n"/>
    </row>
    <row r="22">
      <c r="A22" s="24" t="inlineStr">
        <is>
          <t>Everything Burns Twice</t>
        </is>
      </c>
      <c r="B22" s="22" t="n">
        <v>2</v>
      </c>
      <c r="C22" s="22" t="inlineStr">
        <is>
          <t>Primary</t>
        </is>
      </c>
      <c r="D22" t="inlineStr">
        <is>
          <t>Fire</t>
        </is>
      </c>
      <c r="E22" s="23" t="inlineStr">
        <is>
          <t>Ember Saelith (Striker) · Pyrrhic (Ranged) · Cindara (Ranged)</t>
        </is>
      </c>
      <c r="F22" s="23" t="n"/>
    </row>
    <row r="23">
      <c r="A23" s="24" t="inlineStr">
        <is>
          <t>The Tide Remembers</t>
        </is>
      </c>
      <c r="B23" s="22" t="n">
        <v>2</v>
      </c>
      <c r="C23" s="22" t="inlineStr">
        <is>
          <t>Primary</t>
        </is>
      </c>
      <c r="D23" t="inlineStr">
        <is>
          <t>Water</t>
        </is>
      </c>
      <c r="E23" s="23" t="inlineStr">
        <is>
          <t>Marisel (Striker) · Tidewarden Coll (Ranged) · Nix (Ranged)</t>
        </is>
      </c>
      <c r="F23" s="23" t="n"/>
    </row>
    <row r="24">
      <c r="A24" s="24" t="inlineStr">
        <is>
          <t>The First Word Spoken</t>
        </is>
      </c>
      <c r="B24" s="22" t="n">
        <v>2</v>
      </c>
      <c r="C24" s="22" t="inlineStr">
        <is>
          <t>Primary</t>
        </is>
      </c>
      <c r="D24" t="inlineStr">
        <is>
          <t>Light</t>
        </is>
      </c>
      <c r="E24" s="23" t="inlineStr">
        <is>
          <t>Seraphel (Striker) · Lucen (Buffer) · Auriel Dawnkeep (Tank)</t>
        </is>
      </c>
      <c r="F24" s="23" t="n"/>
    </row>
    <row r="25">
      <c r="A25" s="24" t="inlineStr">
        <is>
          <t>The Last Silence</t>
        </is>
      </c>
      <c r="B25" s="22" t="n">
        <v>2</v>
      </c>
      <c r="C25" s="22" t="inlineStr">
        <is>
          <t>Primary</t>
        </is>
      </c>
      <c r="D25" t="inlineStr">
        <is>
          <t>Dark</t>
        </is>
      </c>
      <c r="E25" s="23" t="inlineStr">
        <is>
          <t>Nyxara (Striker) · Umbriel (Buffer) · Corvane (Tank)</t>
        </is>
      </c>
      <c r="F25" s="23" t="n"/>
    </row>
    <row r="26">
      <c r="A26" s="24" t="inlineStr">
        <is>
          <t>One Clean Stroke</t>
        </is>
      </c>
      <c r="B26" s="22" t="n">
        <v>2</v>
      </c>
      <c r="C26" s="22" t="inlineStr">
        <is>
          <t>Primary</t>
        </is>
      </c>
      <c r="D26" t="inlineStr">
        <is>
          <t>Slash</t>
        </is>
      </c>
      <c r="E26" s="23" t="inlineStr">
        <is>
          <t>Kaellis (Striker) · Reyna Two-Rivers (Striker) · Grieve (Tank)</t>
        </is>
      </c>
      <c r="F26" s="23" t="n"/>
    </row>
    <row r="27">
      <c r="A27" s="24" t="inlineStr">
        <is>
          <t>The Single Truth</t>
        </is>
      </c>
      <c r="B27" s="22" t="n">
        <v>2</v>
      </c>
      <c r="C27" s="22" t="inlineStr">
        <is>
          <t>Primary</t>
        </is>
      </c>
      <c r="D27" t="inlineStr">
        <is>
          <t>Pierce</t>
        </is>
      </c>
      <c r="E27" s="23" t="inlineStr">
        <is>
          <t>Vantric (Striker) · Silka Pinquick (Striker) · Lord Aiguille (Tank)</t>
        </is>
      </c>
      <c r="F27" s="23" t="n"/>
    </row>
    <row r="28">
      <c r="A28" s="24" t="inlineStr">
        <is>
          <t>The Sky Falls</t>
        </is>
      </c>
      <c r="B28" s="22" t="n">
        <v>2</v>
      </c>
      <c r="C28" s="22" t="inlineStr">
        <is>
          <t>Primary</t>
        </is>
      </c>
      <c r="D28" t="inlineStr">
        <is>
          <t>Crush</t>
        </is>
      </c>
      <c r="E28" s="23" t="inlineStr">
        <is>
          <t>Boldrek (Striker) · Hettamar Ironfall (Striker) · Mauless (Tank)</t>
        </is>
      </c>
      <c r="F28" s="23" t="n"/>
    </row>
    <row r="29">
      <c r="A29" s="25" t="inlineStr">
        <is>
          <t>The Bloom Lends Heat</t>
        </is>
      </c>
      <c r="B29" s="22" t="n">
        <v>3</v>
      </c>
      <c r="C29" s="22" t="inlineStr">
        <is>
          <t>Secondary</t>
        </is>
      </c>
      <c r="D29" t="inlineStr">
        <is>
          <t>Fire</t>
        </is>
      </c>
      <c r="E29" s="23" t="inlineStr">
        <is>
          <t>Bramwen (Striker) · Seraphel (Striker) · Umbriel (Buffer)</t>
        </is>
      </c>
      <c r="F29" s="23" t="n"/>
    </row>
    <row r="30">
      <c r="A30" s="25" t="inlineStr">
        <is>
          <t>The Silence Lends Cover</t>
        </is>
      </c>
      <c r="B30" s="22" t="n">
        <v>3</v>
      </c>
      <c r="C30" s="22" t="inlineStr">
        <is>
          <t>Secondary</t>
        </is>
      </c>
      <c r="D30" t="inlineStr">
        <is>
          <t>Dark</t>
        </is>
      </c>
      <c r="E30" s="23" t="inlineStr">
        <is>
          <t>Ossic (Tank) · Vael (Ranged) · Marisel (Striker) · Grieve (Tank) · Silka Pinquick (Striker) · Hettamar Ironfall (Striker)</t>
        </is>
      </c>
      <c r="F30" s="23" t="n"/>
    </row>
    <row r="31">
      <c r="A31" s="25" t="inlineStr">
        <is>
          <t>The Word Lends Sight</t>
        </is>
      </c>
      <c r="B31" s="22" t="n">
        <v>3</v>
      </c>
      <c r="C31" s="22" t="inlineStr">
        <is>
          <t>Secondary</t>
        </is>
      </c>
      <c r="D31" t="inlineStr">
        <is>
          <t>Light</t>
        </is>
      </c>
      <c r="E31" s="23" t="inlineStr">
        <is>
          <t>Terragosa (Tank) · Zephyrine (Striker) · Pyrrhic (Ranged) · Kaellis (Striker) · Lord Aiguille (Tank) · Boldrek (Striker)</t>
        </is>
      </c>
      <c r="F31" s="23" t="n"/>
    </row>
    <row r="32">
      <c r="A32" s="25" t="inlineStr">
        <is>
          <t>The Tide Lends Patience</t>
        </is>
      </c>
      <c r="B32" s="22" t="n">
        <v>3</v>
      </c>
      <c r="C32" s="22" t="inlineStr">
        <is>
          <t>Secondary</t>
        </is>
      </c>
      <c r="D32" t="inlineStr">
        <is>
          <t>Water</t>
        </is>
      </c>
      <c r="E32" s="23" t="inlineStr">
        <is>
          <t>Cirrolan (Buffer) · Auriel Dawnkeep (Tank) · Nyxara (Striker) · Reyna Two-Rivers (Striker)</t>
        </is>
      </c>
      <c r="F32" s="23" t="n"/>
    </row>
    <row r="33">
      <c r="A33" s="25" t="inlineStr">
        <is>
          <t>The Sky Lends Swiftness</t>
        </is>
      </c>
      <c r="B33" s="22" t="n">
        <v>3</v>
      </c>
      <c r="C33" s="22" t="inlineStr">
        <is>
          <t>Secondary</t>
        </is>
      </c>
      <c r="D33" t="inlineStr">
        <is>
          <t>Air</t>
        </is>
      </c>
      <c r="E33" s="23" t="inlineStr">
        <is>
          <t>Ember Saelith (Striker) · Nix (Ranged) · Lucen (Buffer) · Vantric (Striker)</t>
        </is>
      </c>
      <c r="F33" s="23" t="n"/>
    </row>
    <row r="34">
      <c r="A34" s="25" t="inlineStr">
        <is>
          <t>The Deep Lends Weight</t>
        </is>
      </c>
      <c r="B34" s="22" t="n">
        <v>3</v>
      </c>
      <c r="C34" s="22" t="inlineStr">
        <is>
          <t>Secondary</t>
        </is>
      </c>
      <c r="D34" t="inlineStr">
        <is>
          <t>Earth</t>
        </is>
      </c>
      <c r="E34" s="23" t="inlineStr">
        <is>
          <t>Cindara (Ranged) · Tidewarden Coll (Ranged) · Corvane (Tank) · Mauless (Tank)</t>
        </is>
      </c>
      <c r="F34" s="23" t="n"/>
    </row>
    <row r="35">
      <c r="A35" s="26" t="inlineStr">
        <is>
          <t>Years in the Making</t>
        </is>
      </c>
      <c r="B35" s="22" t="n">
        <v>4</v>
      </c>
      <c r="C35" s="22" t="inlineStr">
        <is>
          <t>Unique</t>
        </is>
      </c>
      <c r="D35" t="inlineStr">
        <is>
          <t>Earth · Fire</t>
        </is>
      </c>
      <c r="E35" s="23" t="inlineStr">
        <is>
          <t>Bramwen (Striker)</t>
        </is>
      </c>
      <c r="F35" s="23" t="n"/>
    </row>
    <row r="36">
      <c r="A36" s="26" t="inlineStr">
        <is>
          <t>Kneel and Raise</t>
        </is>
      </c>
      <c r="B36" s="22" t="n">
        <v>4</v>
      </c>
      <c r="C36" s="22" t="inlineStr">
        <is>
          <t>Unique</t>
        </is>
      </c>
      <c r="D36" t="inlineStr">
        <is>
          <t>Earth · Dark</t>
        </is>
      </c>
      <c r="E36" s="23" t="inlineStr">
        <is>
          <t>Ossic (Tank)</t>
        </is>
      </c>
      <c r="F36" s="23" t="n"/>
    </row>
    <row r="37">
      <c r="A37" s="26" t="inlineStr">
        <is>
          <t>Orchard Over Ruin</t>
        </is>
      </c>
      <c r="B37" s="22" t="n">
        <v>4</v>
      </c>
      <c r="C37" s="22" t="inlineStr">
        <is>
          <t>Unique</t>
        </is>
      </c>
      <c r="D37" t="inlineStr">
        <is>
          <t>Earth · Light</t>
        </is>
      </c>
      <c r="E37" s="23" t="inlineStr">
        <is>
          <t>Terragosa (Tank)</t>
        </is>
      </c>
      <c r="F37" s="23" t="n"/>
    </row>
    <row r="38">
      <c r="A38" s="26" t="inlineStr">
        <is>
          <t>A Distance Never Closed</t>
        </is>
      </c>
      <c r="B38" s="22" t="n">
        <v>4</v>
      </c>
      <c r="C38" s="22" t="inlineStr">
        <is>
          <t>Unique</t>
        </is>
      </c>
      <c r="D38" t="inlineStr">
        <is>
          <t>Air · Light</t>
        </is>
      </c>
      <c r="E38" s="23" t="inlineStr">
        <is>
          <t>Zephyrine (Striker)</t>
        </is>
      </c>
      <c r="F38" s="23" t="n"/>
    </row>
    <row r="39">
      <c r="A39" s="26" t="inlineStr">
        <is>
          <t>Rumour and Storm</t>
        </is>
      </c>
      <c r="B39" s="22" t="n">
        <v>4</v>
      </c>
      <c r="C39" s="22" t="inlineStr">
        <is>
          <t>Unique</t>
        </is>
      </c>
      <c r="D39" t="inlineStr">
        <is>
          <t>Air · Water</t>
        </is>
      </c>
      <c r="E39" s="23" t="inlineStr">
        <is>
          <t>Cirrolan (Buffer)</t>
        </is>
      </c>
      <c r="F39" s="23" t="n"/>
    </row>
    <row r="40">
      <c r="A40" s="26" t="inlineStr">
        <is>
          <t>Jump First</t>
        </is>
      </c>
      <c r="B40" s="22" t="n">
        <v>4</v>
      </c>
      <c r="C40" s="22" t="inlineStr">
        <is>
          <t>Unique</t>
        </is>
      </c>
      <c r="D40" t="inlineStr">
        <is>
          <t>Air · Dark</t>
        </is>
      </c>
      <c r="E40" s="23" t="inlineStr">
        <is>
          <t>Vael (Ranged)</t>
        </is>
      </c>
      <c r="F40" s="23" t="n"/>
    </row>
    <row r="41">
      <c r="A41" s="26" t="inlineStr">
        <is>
          <t>The Room Warms</t>
        </is>
      </c>
      <c r="B41" s="22" t="n">
        <v>4</v>
      </c>
      <c r="C41" s="22" t="inlineStr">
        <is>
          <t>Unique</t>
        </is>
      </c>
      <c r="D41" t="inlineStr">
        <is>
          <t>Fire · Air</t>
        </is>
      </c>
      <c r="E41" s="23" t="inlineStr">
        <is>
          <t>Ember Saelith (Striker)</t>
        </is>
      </c>
      <c r="F41" s="23" t="n"/>
    </row>
    <row r="42">
      <c r="A42" s="26" t="inlineStr">
        <is>
          <t>Less Left to Lose</t>
        </is>
      </c>
      <c r="B42" s="22" t="n">
        <v>4</v>
      </c>
      <c r="C42" s="22" t="inlineStr">
        <is>
          <t>Unique</t>
        </is>
      </c>
      <c r="D42" t="inlineStr">
        <is>
          <t>Fire · Light</t>
        </is>
      </c>
      <c r="E42" s="23" t="inlineStr">
        <is>
          <t>Pyrrhic (Ranged)</t>
        </is>
      </c>
      <c r="F42" s="23" t="n"/>
    </row>
    <row r="43">
      <c r="A43" s="26" t="inlineStr">
        <is>
          <t>The Coal, Not the Flame</t>
        </is>
      </c>
      <c r="B43" s="22" t="n">
        <v>4</v>
      </c>
      <c r="C43" s="22" t="inlineStr">
        <is>
          <t>Unique</t>
        </is>
      </c>
      <c r="D43" t="inlineStr">
        <is>
          <t>Fire · Earth</t>
        </is>
      </c>
      <c r="E43" s="23" t="inlineStr">
        <is>
          <t>Cindara (Ranged)</t>
        </is>
      </c>
      <c r="F43" s="23" t="n"/>
    </row>
    <row r="44">
      <c r="A44" s="26" t="inlineStr">
        <is>
          <t>Your Own Past, Rising</t>
        </is>
      </c>
      <c r="B44" s="22" t="n">
        <v>4</v>
      </c>
      <c r="C44" s="22" t="inlineStr">
        <is>
          <t>Unique</t>
        </is>
      </c>
      <c r="D44" t="inlineStr">
        <is>
          <t>Water · Dark</t>
        </is>
      </c>
      <c r="E44" s="23" t="inlineStr">
        <is>
          <t>Marisel (Striker)</t>
        </is>
      </c>
      <c r="F44" s="23" t="n"/>
    </row>
    <row r="45">
      <c r="A45" s="26" t="inlineStr">
        <is>
          <t>Give Ground, Take Coast</t>
        </is>
      </c>
      <c r="B45" s="22" t="n">
        <v>4</v>
      </c>
      <c r="C45" s="22" t="inlineStr">
        <is>
          <t>Unique</t>
        </is>
      </c>
      <c r="D45" t="inlineStr">
        <is>
          <t>Water · Earth</t>
        </is>
      </c>
      <c r="E45" s="23" t="inlineStr">
        <is>
          <t>Tidewarden Coll (Ranged)</t>
        </is>
      </c>
      <c r="F45" s="23" t="n"/>
    </row>
    <row r="46">
      <c r="A46" s="26" t="inlineStr">
        <is>
          <t>Perfectly Calm</t>
        </is>
      </c>
      <c r="B46" s="22" t="n">
        <v>4</v>
      </c>
      <c r="C46" s="22" t="inlineStr">
        <is>
          <t>Unique</t>
        </is>
      </c>
      <c r="D46" t="inlineStr">
        <is>
          <t>Water · Air</t>
        </is>
      </c>
      <c r="E46" s="23" t="inlineStr">
        <is>
          <t>Nix (Ranged)</t>
        </is>
      </c>
      <c r="F46" s="23" t="n"/>
    </row>
    <row r="47">
      <c r="A47" s="26" t="inlineStr">
        <is>
          <t>The Gaze Accuses</t>
        </is>
      </c>
      <c r="B47" s="22" t="n">
        <v>4</v>
      </c>
      <c r="C47" s="22" t="inlineStr">
        <is>
          <t>Unique</t>
        </is>
      </c>
      <c r="D47" t="inlineStr">
        <is>
          <t>Light · Fire</t>
        </is>
      </c>
      <c r="E47" s="23" t="inlineStr">
        <is>
          <t>Seraphel (Striker)</t>
        </is>
      </c>
      <c r="F47" s="23" t="n"/>
    </row>
    <row r="48">
      <c r="A48" s="26" t="inlineStr">
        <is>
          <t>Three Beams, No Shadow</t>
        </is>
      </c>
      <c r="B48" s="22" t="n">
        <v>4</v>
      </c>
      <c r="C48" s="22" t="inlineStr">
        <is>
          <t>Unique</t>
        </is>
      </c>
      <c r="D48" t="inlineStr">
        <is>
          <t>Light · Air</t>
        </is>
      </c>
      <c r="E48" s="23" t="inlineStr">
        <is>
          <t>Lucen (Buffer)</t>
        </is>
      </c>
      <c r="F48" s="23" t="n"/>
    </row>
    <row r="49">
      <c r="A49" s="26" t="inlineStr">
        <is>
          <t>The Lantern Holds</t>
        </is>
      </c>
      <c r="B49" s="22" t="n">
        <v>4</v>
      </c>
      <c r="C49" s="22" t="inlineStr">
        <is>
          <t>Unique</t>
        </is>
      </c>
      <c r="D49" t="inlineStr">
        <is>
          <t>Light · Water</t>
        </is>
      </c>
      <c r="E49" s="23" t="inlineStr">
        <is>
          <t>Auriel Dawnkeep (Tank)</t>
        </is>
      </c>
      <c r="F49" s="23" t="n"/>
    </row>
    <row r="50">
      <c r="A50" s="26" t="inlineStr">
        <is>
          <t>A Kindness, Ending</t>
        </is>
      </c>
      <c r="B50" s="22" t="n">
        <v>4</v>
      </c>
      <c r="C50" s="22" t="inlineStr">
        <is>
          <t>Unique</t>
        </is>
      </c>
      <c r="D50" t="inlineStr">
        <is>
          <t>Dark · Water</t>
        </is>
      </c>
      <c r="E50" s="23" t="inlineStr">
        <is>
          <t>Nyxara (Striker)</t>
        </is>
      </c>
      <c r="F50" s="23" t="n"/>
    </row>
    <row r="51">
      <c r="A51" s="26" t="inlineStr">
        <is>
          <t>Unwrite the Line</t>
        </is>
      </c>
      <c r="B51" s="22" t="n">
        <v>4</v>
      </c>
      <c r="C51" s="22" t="inlineStr">
        <is>
          <t>Unique</t>
        </is>
      </c>
      <c r="D51" t="inlineStr">
        <is>
          <t>Dark · Fire</t>
        </is>
      </c>
      <c r="E51" s="23" t="inlineStr">
        <is>
          <t>Umbriel (Buffer)</t>
        </is>
      </c>
      <c r="F51" s="23" t="n"/>
    </row>
    <row r="52">
      <c r="A52" s="26" t="inlineStr">
        <is>
          <t>I Know Your Hour</t>
        </is>
      </c>
      <c r="B52" s="22" t="n">
        <v>4</v>
      </c>
      <c r="C52" s="22" t="inlineStr">
        <is>
          <t>Unique</t>
        </is>
      </c>
      <c r="D52" t="inlineStr">
        <is>
          <t>Dark · Earth</t>
        </is>
      </c>
      <c r="E52" s="23" t="inlineStr">
        <is>
          <t>Corvane (Tank)</t>
        </is>
      </c>
      <c r="F52" s="23" t="n"/>
    </row>
    <row r="53">
      <c r="A53" s="26" t="inlineStr">
        <is>
          <t>Never Twice</t>
        </is>
      </c>
      <c r="B53" s="22" t="n">
        <v>4</v>
      </c>
      <c r="C53" s="22" t="inlineStr">
        <is>
          <t>Unique</t>
        </is>
      </c>
      <c r="D53" t="inlineStr">
        <is>
          <t>Slash · Light</t>
        </is>
      </c>
      <c r="E53" s="23" t="inlineStr">
        <is>
          <t>Kaellis (Striker)</t>
        </is>
      </c>
      <c r="F53" s="23" t="n"/>
    </row>
    <row r="54">
      <c r="A54" s="26" t="inlineStr">
        <is>
          <t>Two Rivers Meeting</t>
        </is>
      </c>
      <c r="B54" s="22" t="n">
        <v>4</v>
      </c>
      <c r="C54" s="22" t="inlineStr">
        <is>
          <t>Unique</t>
        </is>
      </c>
      <c r="D54" t="inlineStr">
        <is>
          <t>Slash · Water</t>
        </is>
      </c>
      <c r="E54" s="23" t="inlineStr">
        <is>
          <t>Reyna Two-Rivers (Striker)</t>
        </is>
      </c>
      <c r="F54" s="23" t="n"/>
    </row>
    <row r="55">
      <c r="A55" s="26" t="inlineStr">
        <is>
          <t>Clear the Room</t>
        </is>
      </c>
      <c r="B55" s="22" t="n">
        <v>4</v>
      </c>
      <c r="C55" s="22" t="inlineStr">
        <is>
          <t>Unique</t>
        </is>
      </c>
      <c r="D55" t="inlineStr">
        <is>
          <t>Slash · Dark</t>
        </is>
      </c>
      <c r="E55" s="23" t="inlineStr">
        <is>
          <t>Grieve (Tank)</t>
        </is>
      </c>
      <c r="F55" s="23" t="n"/>
    </row>
    <row r="56">
      <c r="A56" s="26" t="inlineStr">
        <is>
          <t>The One Gap</t>
        </is>
      </c>
      <c r="B56" s="22" t="n">
        <v>4</v>
      </c>
      <c r="C56" s="22" t="inlineStr">
        <is>
          <t>Unique</t>
        </is>
      </c>
      <c r="D56" t="inlineStr">
        <is>
          <t>Pierce · Air</t>
        </is>
      </c>
      <c r="E56" s="23" t="inlineStr">
        <is>
          <t>Vantric (Striker)</t>
        </is>
      </c>
      <c r="F56" s="23" t="n"/>
    </row>
    <row r="57">
      <c r="A57" s="26" t="inlineStr">
        <is>
          <t>Already Behind You</t>
        </is>
      </c>
      <c r="B57" s="22" t="n">
        <v>4</v>
      </c>
      <c r="C57" s="22" t="inlineStr">
        <is>
          <t>Unique</t>
        </is>
      </c>
      <c r="D57" t="inlineStr">
        <is>
          <t>Pierce · Dark</t>
        </is>
      </c>
      <c r="E57" s="23" t="inlineStr">
        <is>
          <t>Silka Pinquick (Striker)</t>
        </is>
      </c>
      <c r="F57" s="23" t="n"/>
    </row>
    <row r="58">
      <c r="A58" s="26" t="inlineStr">
        <is>
          <t>Before You Decide</t>
        </is>
      </c>
      <c r="B58" s="22" t="n">
        <v>4</v>
      </c>
      <c r="C58" s="22" t="inlineStr">
        <is>
          <t>Unique</t>
        </is>
      </c>
      <c r="D58" t="inlineStr">
        <is>
          <t>Pierce · Light</t>
        </is>
      </c>
      <c r="E58" s="23" t="inlineStr">
        <is>
          <t>Lord Aiguille (Tank)</t>
        </is>
      </c>
      <c r="F58" s="23" t="n"/>
    </row>
    <row r="59">
      <c r="A59" s="26" t="inlineStr">
        <is>
          <t>All At Once</t>
        </is>
      </c>
      <c r="B59" s="22" t="n">
        <v>4</v>
      </c>
      <c r="C59" s="22" t="inlineStr">
        <is>
          <t>Unique</t>
        </is>
      </c>
      <c r="D59" t="inlineStr">
        <is>
          <t>Crush · Light</t>
        </is>
      </c>
      <c r="E59" s="23" t="inlineStr">
        <is>
          <t>Boldrek (Striker)</t>
        </is>
      </c>
      <c r="F59" s="23" t="n"/>
    </row>
    <row r="60">
      <c r="A60" s="26" t="inlineStr">
        <is>
          <t>End of Argument</t>
        </is>
      </c>
      <c r="B60" s="22" t="n">
        <v>4</v>
      </c>
      <c r="C60" s="22" t="inlineStr">
        <is>
          <t>Unique</t>
        </is>
      </c>
      <c r="D60" t="inlineStr">
        <is>
          <t>Crush · Dark</t>
        </is>
      </c>
      <c r="E60" s="23" t="inlineStr">
        <is>
          <t>Hettamar Ironfall (Striker)</t>
        </is>
      </c>
      <c r="F60" s="23" t="n"/>
    </row>
    <row r="61">
      <c r="A61" s="26" t="inlineStr">
        <is>
          <t>Guards Break First</t>
        </is>
      </c>
      <c r="B61" s="22" t="n">
        <v>4</v>
      </c>
      <c r="C61" s="22" t="inlineStr">
        <is>
          <t>Unique</t>
        </is>
      </c>
      <c r="D61" t="inlineStr">
        <is>
          <t>Crush · Earth</t>
        </is>
      </c>
      <c r="E61" s="23" t="inlineStr">
        <is>
          <t>Mauless (Tank)</t>
        </is>
      </c>
      <c r="F61" s="23" t="n"/>
    </row>
    <row r="62">
      <c r="A62" s="26" t="inlineStr">
        <is>
          <t>Wrath of the Slow Stone</t>
        </is>
      </c>
      <c r="B62" s="22" t="n">
        <v>5</v>
      </c>
      <c r="C62" s="22" t="inlineStr">
        <is>
          <t>Unique</t>
        </is>
      </c>
      <c r="D62" t="inlineStr">
        <is>
          <t>Earth · Fire</t>
        </is>
      </c>
      <c r="E62" s="23" t="inlineStr">
        <is>
          <t>Bramwen (Striker)</t>
        </is>
      </c>
      <c r="F62" s="23" t="n"/>
    </row>
    <row r="63">
      <c r="A63" s="26" t="inlineStr">
        <is>
          <t>The God-Bone Wakes</t>
        </is>
      </c>
      <c r="B63" s="22" t="n">
        <v>5</v>
      </c>
      <c r="C63" s="22" t="inlineStr">
        <is>
          <t>Unique</t>
        </is>
      </c>
      <c r="D63" t="inlineStr">
        <is>
          <t>Earth · Dark</t>
        </is>
      </c>
      <c r="E63" s="23" t="inlineStr">
        <is>
          <t>Ossic (Tank)</t>
        </is>
      </c>
      <c r="F63" s="23" t="n"/>
    </row>
    <row r="64">
      <c r="A64" s="26" t="inlineStr">
        <is>
          <t>The Green Crown Descends</t>
        </is>
      </c>
      <c r="B64" s="22" t="n">
        <v>5</v>
      </c>
      <c r="C64" s="22" t="inlineStr">
        <is>
          <t>Unique</t>
        </is>
      </c>
      <c r="D64" t="inlineStr">
        <is>
          <t>Earth · Light</t>
        </is>
      </c>
      <c r="E64" s="23" t="inlineStr">
        <is>
          <t>Terragosa (Tank)</t>
        </is>
      </c>
      <c r="F64" s="23" t="n"/>
    </row>
    <row r="65">
      <c r="A65" s="26" t="inlineStr">
        <is>
          <t>The Thin Blade Falls</t>
        </is>
      </c>
      <c r="B65" s="22" t="n">
        <v>5</v>
      </c>
      <c r="C65" s="22" t="inlineStr">
        <is>
          <t>Unique</t>
        </is>
      </c>
      <c r="D65" t="inlineStr">
        <is>
          <t>Air · Light</t>
        </is>
      </c>
      <c r="E65" s="23" t="inlineStr">
        <is>
          <t>Zephyrine (Striker)</t>
        </is>
      </c>
      <c r="F65" s="23" t="n"/>
    </row>
    <row r="66">
      <c r="A66" s="26" t="inlineStr">
        <is>
          <t>Whisper from the High Reach</t>
        </is>
      </c>
      <c r="B66" s="22" t="n">
        <v>5</v>
      </c>
      <c r="C66" s="22" t="inlineStr">
        <is>
          <t>Unique</t>
        </is>
      </c>
      <c r="D66" t="inlineStr">
        <is>
          <t>Air · Water</t>
        </is>
      </c>
      <c r="E66" s="23" t="inlineStr">
        <is>
          <t>Cirrolan (Buffer)</t>
        </is>
      </c>
      <c r="F66" s="23" t="n"/>
    </row>
    <row r="67">
      <c r="A67" s="26" t="inlineStr">
        <is>
          <t>Nothing to Catch You</t>
        </is>
      </c>
      <c r="B67" s="22" t="n">
        <v>5</v>
      </c>
      <c r="C67" s="22" t="inlineStr">
        <is>
          <t>Unique</t>
        </is>
      </c>
      <c r="D67" t="inlineStr">
        <is>
          <t>Air · Dark</t>
        </is>
      </c>
      <c r="E67" s="23" t="inlineStr">
        <is>
          <t>Vael (Ranged)</t>
        </is>
      </c>
      <c r="F67" s="23" t="n"/>
    </row>
    <row r="68">
      <c r="A68" s="26" t="inlineStr">
        <is>
          <t>First Spark, Last Laugh</t>
        </is>
      </c>
      <c r="B68" s="22" t="n">
        <v>5</v>
      </c>
      <c r="C68" s="22" t="inlineStr">
        <is>
          <t>Unique</t>
        </is>
      </c>
      <c r="D68" t="inlineStr">
        <is>
          <t>Fire · Air</t>
        </is>
      </c>
      <c r="E68" s="23" t="inlineStr">
        <is>
          <t>Ember Saelith (Striker)</t>
        </is>
      </c>
      <c r="F68" s="23" t="n"/>
    </row>
    <row r="69">
      <c r="A69" s="26" t="inlineStr">
        <is>
          <t>Glad Ruin</t>
        </is>
      </c>
      <c r="B69" s="22" t="n">
        <v>5</v>
      </c>
      <c r="C69" s="22" t="inlineStr">
        <is>
          <t>Unique</t>
        </is>
      </c>
      <c r="D69" t="inlineStr">
        <is>
          <t>Fire · Light</t>
        </is>
      </c>
      <c r="E69" s="23" t="inlineStr">
        <is>
          <t>Pyrrhic (Ranged)</t>
        </is>
      </c>
      <c r="F69" s="23" t="n"/>
    </row>
    <row r="70">
      <c r="A70" s="26" t="inlineStr">
        <is>
          <t>The Long Burn</t>
        </is>
      </c>
      <c r="B70" s="22" t="n">
        <v>5</v>
      </c>
      <c r="C70" s="22" t="inlineStr">
        <is>
          <t>Unique</t>
        </is>
      </c>
      <c r="D70" t="inlineStr">
        <is>
          <t>Fire · Earth</t>
        </is>
      </c>
      <c r="E70" s="23" t="inlineStr">
        <is>
          <t>Cindara (Ranged)</t>
        </is>
      </c>
      <c r="F70" s="23" t="n"/>
    </row>
    <row r="71">
      <c r="A71" s="26" t="inlineStr">
        <is>
          <t>Drown in What You Did</t>
        </is>
      </c>
      <c r="B71" s="22" t="n">
        <v>5</v>
      </c>
      <c r="C71" s="22" t="inlineStr">
        <is>
          <t>Unique</t>
        </is>
      </c>
      <c r="D71" t="inlineStr">
        <is>
          <t>Water · Dark</t>
        </is>
      </c>
      <c r="E71" s="23" t="inlineStr">
        <is>
          <t>Marisel (Striker)</t>
        </is>
      </c>
      <c r="F71" s="23" t="n"/>
    </row>
    <row r="72">
      <c r="A72" s="26" t="inlineStr">
        <is>
          <t>The Bulwark Holds</t>
        </is>
      </c>
      <c r="B72" s="22" t="n">
        <v>5</v>
      </c>
      <c r="C72" s="22" t="inlineStr">
        <is>
          <t>Unique</t>
        </is>
      </c>
      <c r="D72" t="inlineStr">
        <is>
          <t>Water · Earth</t>
        </is>
      </c>
      <c r="E72" s="23" t="inlineStr">
        <is>
          <t>Tidewarden Coll (Ranged)</t>
        </is>
      </c>
      <c r="F72" s="23" t="n"/>
    </row>
    <row r="73">
      <c r="A73" s="26" t="inlineStr">
        <is>
          <t>The Still Pool Closes</t>
        </is>
      </c>
      <c r="B73" s="22" t="n">
        <v>5</v>
      </c>
      <c r="C73" s="22" t="inlineStr">
        <is>
          <t>Unique</t>
        </is>
      </c>
      <c r="D73" t="inlineStr">
        <is>
          <t>Water · Air</t>
        </is>
      </c>
      <c r="E73" s="23" t="inlineStr">
        <is>
          <t>Nix (Ranged)</t>
        </is>
      </c>
      <c r="F73" s="23" t="n"/>
    </row>
    <row r="74">
      <c r="A74" s="26" t="inlineStr">
        <is>
          <t>Sentence Passed</t>
        </is>
      </c>
      <c r="B74" s="22" t="n">
        <v>5</v>
      </c>
      <c r="C74" s="22" t="inlineStr">
        <is>
          <t>Unique</t>
        </is>
      </c>
      <c r="D74" t="inlineStr">
        <is>
          <t>Light · Fire</t>
        </is>
      </c>
      <c r="E74" s="23" t="inlineStr">
        <is>
          <t>Seraphel (Striker)</t>
        </is>
      </c>
      <c r="F74" s="23" t="n"/>
    </row>
    <row r="75">
      <c r="A75" s="26" t="inlineStr">
        <is>
          <t>The Unhidden Hour</t>
        </is>
      </c>
      <c r="B75" s="22" t="n">
        <v>5</v>
      </c>
      <c r="C75" s="22" t="inlineStr">
        <is>
          <t>Unique</t>
        </is>
      </c>
      <c r="D75" t="inlineStr">
        <is>
          <t>Light · Air</t>
        </is>
      </c>
      <c r="E75" s="23" t="inlineStr">
        <is>
          <t>Lucen (Buffer)</t>
        </is>
      </c>
      <c r="F75" s="23" t="n"/>
    </row>
    <row r="76">
      <c r="A76" s="26" t="inlineStr">
        <is>
          <t>Last Light on the Wall</t>
        </is>
      </c>
      <c r="B76" s="22" t="n">
        <v>5</v>
      </c>
      <c r="C76" s="22" t="inlineStr">
        <is>
          <t>Unique</t>
        </is>
      </c>
      <c r="D76" t="inlineStr">
        <is>
          <t>Light · Water</t>
        </is>
      </c>
      <c r="E76" s="23" t="inlineStr">
        <is>
          <t>Auriel Dawnkeep (Tank)</t>
        </is>
      </c>
      <c r="F76" s="23" t="n"/>
    </row>
    <row r="77">
      <c r="A77" s="26" t="inlineStr">
        <is>
          <t>Mercy at the End</t>
        </is>
      </c>
      <c r="B77" s="22" t="n">
        <v>5</v>
      </c>
      <c r="C77" s="22" t="inlineStr">
        <is>
          <t>Unique</t>
        </is>
      </c>
      <c r="D77" t="inlineStr">
        <is>
          <t>Dark · Water</t>
        </is>
      </c>
      <c r="E77" s="23" t="inlineStr">
        <is>
          <t>Nyxara (Striker)</t>
        </is>
      </c>
      <c r="F77" s="23" t="n"/>
    </row>
    <row r="78">
      <c r="A78" s="26" t="inlineStr">
        <is>
          <t>The Undoing</t>
        </is>
      </c>
      <c r="B78" s="22" t="n">
        <v>5</v>
      </c>
      <c r="C78" s="22" t="inlineStr">
        <is>
          <t>Unique</t>
        </is>
      </c>
      <c r="D78" t="inlineStr">
        <is>
          <t>Dark · Fire</t>
        </is>
      </c>
      <c r="E78" s="23" t="inlineStr">
        <is>
          <t>Umbriel (Buffer)</t>
        </is>
      </c>
      <c r="F78" s="23" t="n"/>
    </row>
    <row r="79">
      <c r="A79" s="26" t="inlineStr">
        <is>
          <t>Shepherd of Endings</t>
        </is>
      </c>
      <c r="B79" s="22" t="n">
        <v>5</v>
      </c>
      <c r="C79" s="22" t="inlineStr">
        <is>
          <t>Unique</t>
        </is>
      </c>
      <c r="D79" t="inlineStr">
        <is>
          <t>Dark · Earth</t>
        </is>
      </c>
      <c r="E79" s="23" t="inlineStr">
        <is>
          <t>Corvane (Tank)</t>
        </is>
      </c>
      <c r="F79" s="23" t="n"/>
    </row>
    <row r="80">
      <c r="A80" s="26" t="inlineStr">
        <is>
          <t>Immaculate</t>
        </is>
      </c>
      <c r="B80" s="22" t="n">
        <v>5</v>
      </c>
      <c r="C80" s="22" t="inlineStr">
        <is>
          <t>Unique</t>
        </is>
      </c>
      <c r="D80" t="inlineStr">
        <is>
          <t>Slash · Light</t>
        </is>
      </c>
      <c r="E80" s="23" t="inlineStr">
        <is>
          <t>Kaellis (Striker)</t>
        </is>
      </c>
      <c r="F80" s="23" t="n"/>
    </row>
    <row r="81">
      <c r="A81" s="26" t="inlineStr">
        <is>
          <t>The Current Takes All</t>
        </is>
      </c>
      <c r="B81" s="22" t="n">
        <v>5</v>
      </c>
      <c r="C81" s="22" t="inlineStr">
        <is>
          <t>Unique</t>
        </is>
      </c>
      <c r="D81" t="inlineStr">
        <is>
          <t>Slash · Water</t>
        </is>
      </c>
      <c r="E81" s="23" t="inlineStr">
        <is>
          <t>Reyna Two-Rivers (Striker)</t>
        </is>
      </c>
      <c r="F81" s="23" t="n"/>
    </row>
    <row r="82">
      <c r="A82" s="26" t="inlineStr">
        <is>
          <t>The Wide Reaping</t>
        </is>
      </c>
      <c r="B82" s="22" t="n">
        <v>5</v>
      </c>
      <c r="C82" s="22" t="inlineStr">
        <is>
          <t>Unique</t>
        </is>
      </c>
      <c r="D82" t="inlineStr">
        <is>
          <t>Slash · Dark</t>
        </is>
      </c>
      <c r="E82" s="23" t="inlineStr">
        <is>
          <t>Grieve (Tank)</t>
        </is>
      </c>
      <c r="F82" s="23" t="n"/>
    </row>
    <row r="83">
      <c r="A83" s="26" t="inlineStr">
        <is>
          <t>The Spear Finds It</t>
        </is>
      </c>
      <c r="B83" s="22" t="n">
        <v>5</v>
      </c>
      <c r="C83" s="22" t="inlineStr">
        <is>
          <t>Unique</t>
        </is>
      </c>
      <c r="D83" t="inlineStr">
        <is>
          <t>Pierce · Air</t>
        </is>
      </c>
      <c r="E83" s="23" t="inlineStr">
        <is>
          <t>Vantric (Striker)</t>
        </is>
      </c>
      <c r="F83" s="23" t="n"/>
    </row>
    <row r="84">
      <c r="A84" s="26" t="inlineStr">
        <is>
          <t>Quicker Than Told</t>
        </is>
      </c>
      <c r="B84" s="22" t="n">
        <v>5</v>
      </c>
      <c r="C84" s="22" t="inlineStr">
        <is>
          <t>Unique</t>
        </is>
      </c>
      <c r="D84" t="inlineStr">
        <is>
          <t>Pierce · Dark</t>
        </is>
      </c>
      <c r="E84" s="23" t="inlineStr">
        <is>
          <t>Silka Pinquick (Striker)</t>
        </is>
      </c>
      <c r="F84" s="23" t="n"/>
    </row>
    <row r="85">
      <c r="A85" s="26" t="inlineStr">
        <is>
          <t>The Long Point</t>
        </is>
      </c>
      <c r="B85" s="22" t="n">
        <v>5</v>
      </c>
      <c r="C85" s="22" t="inlineStr">
        <is>
          <t>Unique</t>
        </is>
      </c>
      <c r="D85" t="inlineStr">
        <is>
          <t>Pierce · Light</t>
        </is>
      </c>
      <c r="E85" s="23" t="inlineStr">
        <is>
          <t>Lord Aiguille (Tank)</t>
        </is>
      </c>
      <c r="F85" s="23" t="n"/>
    </row>
    <row r="86">
      <c r="A86" s="26" t="inlineStr">
        <is>
          <t>Avalanche</t>
        </is>
      </c>
      <c r="B86" s="22" t="n">
        <v>5</v>
      </c>
      <c r="C86" s="22" t="inlineStr">
        <is>
          <t>Unique</t>
        </is>
      </c>
      <c r="D86" t="inlineStr">
        <is>
          <t>Crush · Light</t>
        </is>
      </c>
      <c r="E86" s="23" t="inlineStr">
        <is>
          <t>Boldrek (Striker)</t>
        </is>
      </c>
      <c r="F86" s="23" t="n"/>
    </row>
    <row r="87">
      <c r="A87" s="26" t="inlineStr">
        <is>
          <t>Ironfall</t>
        </is>
      </c>
      <c r="B87" s="22" t="n">
        <v>5</v>
      </c>
      <c r="C87" s="22" t="inlineStr">
        <is>
          <t>Unique</t>
        </is>
      </c>
      <c r="D87" t="inlineStr">
        <is>
          <t>Crush · Dark</t>
        </is>
      </c>
      <c r="E87" s="23" t="inlineStr">
        <is>
          <t>Hettamar Ironfall (Striker)</t>
        </is>
      </c>
      <c r="F87" s="23" t="n"/>
    </row>
    <row r="88">
      <c r="A88" s="26" t="inlineStr">
        <is>
          <t>The Undenied</t>
        </is>
      </c>
      <c r="B88" s="22" t="n">
        <v>5</v>
      </c>
      <c r="C88" s="22" t="inlineStr">
        <is>
          <t>Unique</t>
        </is>
      </c>
      <c r="D88" t="inlineStr">
        <is>
          <t>Crush · Earth</t>
        </is>
      </c>
      <c r="E88" s="23" t="inlineStr">
        <is>
          <t>Mauless (Tank)</t>
        </is>
      </c>
      <c r="F88" s="23" t="n"/>
    </row>
  </sheetData>
  <autoFilter ref="A1:F8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ColWidth="14.43" defaultRowHeight="15" customHeight="1"/>
  <cols>
    <col width="15" customWidth="1" style="13" min="1" max="1"/>
    <col width="78" customWidth="1" style="13" min="2" max="2"/>
    <col width="8.710000000000001" customWidth="1" style="13" min="3" max="26"/>
  </cols>
  <sheetData>
    <row r="1">
      <c r="A1" s="2" t="inlineStr">
        <is>
          <t>LMNTLZ — hero base stats</t>
        </is>
      </c>
    </row>
    <row r="3">
      <c r="A3" s="4" t="inlineStr">
        <is>
          <t>Targets</t>
        </is>
      </c>
      <c r="B3" s="5" t="inlineStr">
        <is>
          <t>Nothing here is capped. A target total is a guide you set, not a</t>
        </is>
      </c>
    </row>
    <row r="4">
      <c r="A4" s="4" t="n"/>
      <c r="B4" s="5" t="inlineStr">
        <is>
          <t>limit, and totals need not match across heroes.</t>
        </is>
      </c>
    </row>
    <row r="5">
      <c r="A5" s="4" t="n"/>
      <c r="B5" s="5" t="inlineStr">
        <is>
          <t>Set Y2 (reach 1) and Y3 (reach 2) on the Hero Stats sheet and every</t>
        </is>
      </c>
    </row>
    <row r="6">
      <c r="A6" s="4" t="n"/>
      <c r="B6" s="5" t="inlineStr">
        <is>
          <t>row's TARGET follows. A shorter-reach hero may be given the richer</t>
        </is>
      </c>
    </row>
    <row r="7">
      <c r="A7" s="4" t="n"/>
      <c r="B7" s="5" t="inlineStr">
        <is>
          <t>budget — that is the point of splitting the target by reach.</t>
        </is>
      </c>
    </row>
    <row r="8">
      <c r="A8" s="4" t="n"/>
      <c r="B8" s="5" t="inlineStr">
        <is>
          <t>Leave both blank and CHECK simply stays quiet.</t>
        </is>
      </c>
    </row>
    <row r="9">
      <c r="A9" s="4" t="n"/>
      <c r="B9" s="5" t="inlineStr">
        <is>
          <t>For a one-off hero, overwrite that row's TARGET cell with a number.</t>
        </is>
      </c>
    </row>
    <row r="10">
      <c r="A10" s="4" t="inlineStr">
        <is>
          <t>Base range</t>
        </is>
      </c>
      <c r="B10" s="5" t="inlineStr">
        <is>
          <t>Each base stat is normally 1-50. Outside that you get a</t>
        </is>
      </c>
    </row>
    <row r="11">
      <c r="A11" s="4" t="n"/>
      <c r="B11" s="5" t="inlineStr">
        <is>
          <t>warning you can dismiss, not a block.</t>
        </is>
      </c>
    </row>
    <row r="12">
      <c r="A12" s="4" t="inlineStr">
        <is>
          <t>Later ceiling</t>
        </is>
      </c>
      <c r="B12" s="5" t="inlineStr">
        <is>
          <t>100 per stat once growth exists. Growth is not designed yet.</t>
        </is>
      </c>
    </row>
    <row r="13">
      <c r="A13" s="4" t="inlineStr">
        <is>
          <t>CHECK column</t>
        </is>
      </c>
      <c r="B13" s="5" t="inlineStr">
        <is>
          <t>Blank until you start; INCOMPLETE until all ten are filled;</t>
        </is>
      </c>
    </row>
    <row r="14">
      <c r="A14" s="4" t="n"/>
      <c r="B14" s="5" t="inlineStr">
        <is>
          <t>then quiet if no target is set, else OK or "OFF BY +n / -n".</t>
        </is>
      </c>
    </row>
    <row r="15">
      <c r="A15" s="4" t="inlineStr">
        <is>
          <t>SPREAD block</t>
        </is>
      </c>
      <c r="B15" s="5" t="inlineStr">
        <is>
          <t>X6:Z10 on the Hero Stats sheet — live hero counts and average</t>
        </is>
      </c>
    </row>
    <row r="16">
      <c r="A16" s="4" t="n"/>
      <c r="B16" s="5" t="inlineStr">
        <is>
          <t>totals per reach group, so the reach/budget trade stays visible.</t>
        </is>
      </c>
    </row>
    <row r="17">
      <c r="A17" s="4" t="n"/>
    </row>
    <row r="18">
      <c r="A18" s="4" t="inlineStr">
        <is>
          <t>Derived</t>
        </is>
      </c>
      <c r="B18" s="5" t="inlineStr">
        <is>
          <t>Bane and Fault are computed from Primary and Secondary and must</t>
        </is>
      </c>
    </row>
    <row r="19">
      <c r="A19" s="4" t="n"/>
      <c r="B19" s="5" t="inlineStr">
        <is>
          <t>never be hand-edited. Bane = counter(Primary), Fault = counter(Secondary).</t>
        </is>
      </c>
    </row>
    <row r="20">
      <c r="A20" s="4" t="n"/>
      <c r="B20" s="5" t="inlineStr">
        <is>
          <t>counter: Earth&lt;-&gt;Air, Fire&lt;-&gt;Water, Light&lt;-&gt;Dark, Crush&gt;Slash&gt;Pierce&gt;Crush.</t>
        </is>
      </c>
    </row>
    <row r="21" ht="15.75" customHeight="1" s="13">
      <c r="A21" s="4" t="n"/>
    </row>
    <row r="22" ht="15.75" customHeight="1" s="13">
      <c r="A22" s="4" t="inlineStr">
        <is>
          <t>Reach</t>
        </is>
      </c>
      <c r="B22" s="5" t="inlineStr">
        <is>
          <t>Proposed only — not settled, and NOT one of the ten stats.</t>
        </is>
      </c>
    </row>
    <row r="23" ht="15.75" customHeight="1" s="13">
      <c r="A23" s="4" t="n"/>
      <c r="B23" s="5" t="inlineStr">
        <is>
          <t>It is positional: never scales, never enters a damage formula.</t>
        </is>
      </c>
    </row>
    <row r="24" ht="15.75" customHeight="1" s="13">
      <c r="A24" s="4" t="n"/>
      <c r="B24" s="5" t="inlineStr">
        <is>
          <t>It does drive the TARGET column, which is a budgeting choice.</t>
        </is>
      </c>
    </row>
    <row r="25" ht="15.75" customHeight="1" s="13">
      <c r="A25" s="4" t="n"/>
    </row>
    <row r="26" ht="15.75" customHeight="1" s="13">
      <c r="A26" s="4" t="inlineStr">
        <is>
          <t>Regenerating</t>
        </is>
      </c>
      <c r="B26" s="5" t="inlineStr">
        <is>
          <t>tools/build-hero-stats.py rebuilds this file and OVERWRITES it.</t>
        </is>
      </c>
    </row>
    <row r="27" ht="15.75" customHeight="1" s="13">
      <c r="A27" s="4" t="n"/>
      <c r="B27" s="5" t="inlineStr">
        <is>
          <t>Do not run it once real stat values have been entered.</t>
        </is>
      </c>
    </row>
    <row r="28" ht="15.75" customHeight="1" s="13"/>
    <row r="29" ht="15.75" customHeight="1" s="13"/>
    <row r="30" ht="15.75" customHeight="1" s="13"/>
    <row r="31" ht="15.75" customHeight="1" s="13"/>
    <row r="32" ht="15.75" customHeight="1" s="13"/>
    <row r="33" ht="15.75" customHeight="1" s="13"/>
    <row r="34" ht="15.75" customHeight="1" s="13"/>
    <row r="35" ht="15.75" customHeight="1" s="13"/>
    <row r="36" ht="15.75" customHeight="1" s="13"/>
    <row r="37" ht="15.75" customHeight="1" s="13"/>
    <row r="38" ht="15.75" customHeight="1" s="13"/>
    <row r="39" ht="15.75" customHeight="1" s="13"/>
    <row r="40" ht="15.75" customHeight="1" s="13"/>
    <row r="41" ht="15.75" customHeight="1" s="13"/>
    <row r="42" ht="15.75" customHeight="1" s="13"/>
    <row r="43" ht="15.75" customHeight="1" s="13"/>
    <row r="44" ht="15.75" customHeight="1" s="13"/>
    <row r="45" ht="15.75" customHeight="1" s="13"/>
    <row r="46" ht="15.75" customHeight="1" s="13"/>
    <row r="47" ht="15.75" customHeight="1" s="13"/>
    <row r="48" ht="15.75" customHeight="1" s="13"/>
    <row r="49" ht="15.75" customHeight="1" s="13"/>
    <row r="50" ht="15.75" customHeight="1" s="13"/>
    <row r="51" ht="15.75" customHeight="1" s="13"/>
    <row r="52" ht="15.75" customHeight="1" s="13"/>
    <row r="53" ht="15.75" customHeight="1" s="13"/>
    <row r="54" ht="15.75" customHeight="1" s="13"/>
    <row r="55" ht="15.75" customHeight="1" s="13"/>
    <row r="56" ht="15.75" customHeight="1" s="13"/>
    <row r="57" ht="15.75" customHeight="1" s="13"/>
    <row r="58" ht="15.75" customHeight="1" s="13"/>
    <row r="59" ht="15.75" customHeight="1" s="13"/>
    <row r="60" ht="15.75" customHeight="1" s="13"/>
    <row r="61" ht="15.75" customHeight="1" s="13"/>
    <row r="62" ht="15.75" customHeight="1" s="13"/>
    <row r="63" ht="15.75" customHeight="1" s="13"/>
    <row r="64" ht="15.75" customHeight="1" s="13"/>
    <row r="65" ht="15.75" customHeight="1" s="13"/>
    <row r="66" ht="15.75" customHeight="1" s="13"/>
    <row r="67" ht="15.75" customHeight="1" s="13"/>
    <row r="68" ht="15.75" customHeight="1" s="13"/>
    <row r="69" ht="15.75" customHeight="1" s="13"/>
    <row r="70" ht="15.75" customHeight="1" s="13"/>
    <row r="71" ht="15.75" customHeight="1" s="13"/>
    <row r="72" ht="15.75" customHeight="1" s="13"/>
    <row r="73" ht="15.75" customHeight="1" s="13"/>
    <row r="74" ht="15.75" customHeight="1" s="13"/>
    <row r="75" ht="15.75" customHeight="1" s="13"/>
    <row r="76" ht="15.75" customHeight="1" s="13"/>
    <row r="77" ht="15.75" customHeight="1" s="13"/>
    <row r="78" ht="15.75" customHeight="1" s="13"/>
    <row r="79" ht="15.75" customHeight="1" s="13"/>
    <row r="80" ht="15.75" customHeight="1" s="13"/>
    <row r="81" ht="15.75" customHeight="1" s="13"/>
    <row r="82" ht="15.75" customHeight="1" s="13"/>
    <row r="83" ht="15.75" customHeight="1" s="13"/>
    <row r="84" ht="15.75" customHeight="1" s="13"/>
    <row r="85" ht="15.75" customHeight="1" s="13"/>
    <row r="86" ht="15.75" customHeight="1" s="13"/>
    <row r="87" ht="15.75" customHeight="1" s="13"/>
    <row r="88" ht="15.75" customHeight="1" s="13"/>
    <row r="89" ht="15.75" customHeight="1" s="13"/>
    <row r="90" ht="15.75" customHeight="1" s="13"/>
    <row r="91" ht="15.75" customHeight="1" s="13"/>
    <row r="92" ht="15.75" customHeight="1" s="13"/>
    <row r="93" ht="15.75" customHeight="1" s="13"/>
    <row r="94" ht="15.75" customHeight="1" s="13"/>
    <row r="95" ht="15.75" customHeight="1" s="13"/>
    <row r="96" ht="15.75" customHeight="1" s="13"/>
    <row r="97" ht="15.75" customHeight="1" s="13"/>
    <row r="98" ht="15.75" customHeight="1" s="13"/>
    <row r="99" ht="15.75" customHeight="1" s="13"/>
    <row r="100" ht="15.75" customHeight="1" s="13"/>
    <row r="101" ht="15.75" customHeight="1" s="13"/>
    <row r="102" ht="15.75" customHeight="1" s="13"/>
    <row r="103" ht="15.75" customHeight="1" s="13"/>
    <row r="104" ht="15.75" customHeight="1" s="13"/>
    <row r="105" ht="15.75" customHeight="1" s="13"/>
    <row r="106" ht="15.75" customHeight="1" s="13"/>
    <row r="107" ht="15.75" customHeight="1" s="13"/>
    <row r="108" ht="15.75" customHeight="1" s="13"/>
    <row r="109" ht="15.75" customHeight="1" s="13"/>
    <row r="110" ht="15.75" customHeight="1" s="13"/>
    <row r="111" ht="15.75" customHeight="1" s="13"/>
    <row r="112" ht="15.75" customHeight="1" s="13"/>
    <row r="113" ht="15.75" customHeight="1" s="13"/>
    <row r="114" ht="15.75" customHeight="1" s="13"/>
    <row r="115" ht="15.75" customHeight="1" s="13"/>
    <row r="116" ht="15.75" customHeight="1" s="13"/>
    <row r="117" ht="15.75" customHeight="1" s="13"/>
    <row r="118" ht="15.75" customHeight="1" s="13"/>
    <row r="119" ht="15.75" customHeight="1" s="13"/>
    <row r="120" ht="15.75" customHeight="1" s="13"/>
    <row r="121" ht="15.75" customHeight="1" s="13"/>
    <row r="122" ht="15.75" customHeight="1" s="13"/>
    <row r="123" ht="15.75" customHeight="1" s="13"/>
    <row r="124" ht="15.75" customHeight="1" s="13"/>
    <row r="125" ht="15.75" customHeight="1" s="13"/>
    <row r="126" ht="15.75" customHeight="1" s="13"/>
    <row r="127" ht="15.75" customHeight="1" s="13"/>
    <row r="128" ht="15.75" customHeight="1" s="13"/>
    <row r="129" ht="15.75" customHeight="1" s="13"/>
    <row r="130" ht="15.75" customHeight="1" s="13"/>
    <row r="131" ht="15.75" customHeight="1" s="13"/>
    <row r="132" ht="15.75" customHeight="1" s="13"/>
    <row r="133" ht="15.75" customHeight="1" s="13"/>
    <row r="134" ht="15.75" customHeight="1" s="13"/>
    <row r="135" ht="15.75" customHeight="1" s="13"/>
    <row r="136" ht="15.75" customHeight="1" s="13"/>
    <row r="137" ht="15.75" customHeight="1" s="13"/>
    <row r="138" ht="15.75" customHeight="1" s="13"/>
    <row r="139" ht="15.75" customHeight="1" s="13"/>
    <row r="140" ht="15.75" customHeight="1" s="13"/>
    <row r="141" ht="15.75" customHeight="1" s="13"/>
    <row r="142" ht="15.75" customHeight="1" s="13"/>
    <row r="143" ht="15.75" customHeight="1" s="13"/>
    <row r="144" ht="15.75" customHeight="1" s="13"/>
    <row r="145" ht="15.75" customHeight="1" s="13"/>
    <row r="146" ht="15.75" customHeight="1" s="13"/>
    <row r="147" ht="15.75" customHeight="1" s="13"/>
    <row r="148" ht="15.75" customHeight="1" s="13"/>
    <row r="149" ht="15.75" customHeight="1" s="13"/>
    <row r="150" ht="15.75" customHeight="1" s="13"/>
    <row r="151" ht="15.75" customHeight="1" s="13"/>
    <row r="152" ht="15.75" customHeight="1" s="13"/>
    <row r="153" ht="15.75" customHeight="1" s="13"/>
    <row r="154" ht="15.75" customHeight="1" s="13"/>
    <row r="155" ht="15.75" customHeight="1" s="13"/>
    <row r="156" ht="15.75" customHeight="1" s="13"/>
    <row r="157" ht="15.75" customHeight="1" s="13"/>
    <row r="158" ht="15.75" customHeight="1" s="13"/>
    <row r="159" ht="15.75" customHeight="1" s="13"/>
    <row r="160" ht="15.75" customHeight="1" s="13"/>
    <row r="161" ht="15.75" customHeight="1" s="13"/>
    <row r="162" ht="15.75" customHeight="1" s="13"/>
    <row r="163" ht="15.75" customHeight="1" s="13"/>
    <row r="164" ht="15.75" customHeight="1" s="13"/>
    <row r="165" ht="15.75" customHeight="1" s="13"/>
    <row r="166" ht="15.75" customHeight="1" s="13"/>
    <row r="167" ht="15.75" customHeight="1" s="13"/>
    <row r="168" ht="15.75" customHeight="1" s="13"/>
    <row r="169" ht="15.75" customHeight="1" s="13"/>
    <row r="170" ht="15.75" customHeight="1" s="13"/>
    <row r="171" ht="15.75" customHeight="1" s="13"/>
    <row r="172" ht="15.75" customHeight="1" s="13"/>
    <row r="173" ht="15.75" customHeight="1" s="13"/>
    <row r="174" ht="15.75" customHeight="1" s="13"/>
    <row r="175" ht="15.75" customHeight="1" s="13"/>
    <row r="176" ht="15.75" customHeight="1" s="13"/>
    <row r="177" ht="15.75" customHeight="1" s="13"/>
    <row r="178" ht="15.75" customHeight="1" s="13"/>
    <row r="179" ht="15.75" customHeight="1" s="13"/>
    <row r="180" ht="15.75" customHeight="1" s="13"/>
    <row r="181" ht="15.75" customHeight="1" s="13"/>
    <row r="182" ht="15.75" customHeight="1" s="13"/>
    <row r="183" ht="15.75" customHeight="1" s="13"/>
    <row r="184" ht="15.75" customHeight="1" s="13"/>
    <row r="185" ht="15.75" customHeight="1" s="13"/>
    <row r="186" ht="15.75" customHeight="1" s="13"/>
    <row r="187" ht="15.75" customHeight="1" s="13"/>
    <row r="188" ht="15.75" customHeight="1" s="13"/>
    <row r="189" ht="15.75" customHeight="1" s="13"/>
    <row r="190" ht="15.75" customHeight="1" s="13"/>
    <row r="191" ht="15.75" customHeight="1" s="13"/>
    <row r="192" ht="15.75" customHeight="1" s="13"/>
    <row r="193" ht="15.75" customHeight="1" s="13"/>
    <row r="194" ht="15.75" customHeight="1" s="13"/>
    <row r="195" ht="15.75" customHeight="1" s="13"/>
    <row r="196" ht="15.75" customHeight="1" s="13"/>
    <row r="197" ht="15.75" customHeight="1" s="13"/>
    <row r="198" ht="15.75" customHeight="1" s="13"/>
    <row r="199" ht="15.75" customHeight="1" s="13"/>
    <row r="200" ht="15.75" customHeight="1" s="13"/>
    <row r="201" ht="15.75" customHeight="1" s="13"/>
    <row r="202" ht="15.75" customHeight="1" s="13"/>
    <row r="203" ht="15.75" customHeight="1" s="13"/>
    <row r="204" ht="15.75" customHeight="1" s="13"/>
    <row r="205" ht="15.75" customHeight="1" s="13"/>
    <row r="206" ht="15.75" customHeight="1" s="13"/>
    <row r="207" ht="15.75" customHeight="1" s="13"/>
    <row r="208" ht="15.75" customHeight="1" s="13"/>
    <row r="209" ht="15.75" customHeight="1" s="13"/>
    <row r="210" ht="15.75" customHeight="1" s="13"/>
    <row r="211" ht="15.75" customHeight="1" s="13"/>
    <row r="212" ht="15.75" customHeight="1" s="13"/>
    <row r="213" ht="15.75" customHeight="1" s="13"/>
    <row r="214" ht="15.75" customHeight="1" s="13"/>
    <row r="215" ht="15.75" customHeight="1" s="13"/>
    <row r="216" ht="15.75" customHeight="1" s="13"/>
    <row r="217" ht="15.75" customHeight="1" s="13"/>
    <row r="218" ht="15.75" customHeight="1" s="13"/>
    <row r="219" ht="15.75" customHeight="1" s="13"/>
    <row r="220" ht="15.75" customHeight="1" s="13"/>
    <row r="221" ht="15.75" customHeight="1" s="13"/>
    <row r="222" ht="15.75" customHeight="1" s="13"/>
    <row r="223" ht="15.75" customHeight="1" s="13"/>
    <row r="224" ht="15.75" customHeight="1" s="13"/>
    <row r="225" ht="15.75" customHeight="1" s="13"/>
    <row r="226" ht="15.75" customHeight="1" s="13"/>
    <row r="227" ht="15.75" customHeight="1" s="13"/>
    <row r="228" ht="15.75" customHeight="1" s="13"/>
    <row r="229" ht="15.75" customHeight="1" s="13"/>
    <row r="230" ht="15.75" customHeight="1" s="13"/>
    <row r="231" ht="15.75" customHeight="1" s="13"/>
    <row r="232" ht="15.75" customHeight="1" s="13"/>
    <row r="233" ht="15.75" customHeight="1" s="13"/>
    <row r="234" ht="15.75" customHeight="1" s="13"/>
    <row r="235" ht="15.75" customHeight="1" s="13"/>
    <row r="236" ht="15.75" customHeight="1" s="13"/>
    <row r="237" ht="15.75" customHeight="1" s="13"/>
    <row r="238" ht="15.75" customHeight="1" s="13"/>
    <row r="239" ht="15.75" customHeight="1" s="13"/>
    <row r="240" ht="15.75" customHeight="1" s="13"/>
    <row r="241" ht="15.75" customHeight="1" s="13"/>
    <row r="242" ht="15.75" customHeight="1" s="13"/>
    <row r="243" ht="15.75" customHeight="1" s="13"/>
    <row r="244" ht="15.75" customHeight="1" s="13"/>
    <row r="245" ht="15.75" customHeight="1" s="13"/>
    <row r="246" ht="15.75" customHeight="1" s="13"/>
    <row r="247" ht="15.75" customHeight="1" s="13"/>
    <row r="248" ht="15.75" customHeight="1" s="13"/>
    <row r="249" ht="15.75" customHeight="1" s="13"/>
    <row r="250" ht="15.75" customHeight="1" s="13"/>
    <row r="251" ht="15.75" customHeight="1" s="13"/>
    <row r="252" ht="15.75" customHeight="1" s="13"/>
    <row r="253" ht="15.75" customHeight="1" s="13"/>
    <row r="254" ht="15.75" customHeight="1" s="13"/>
    <row r="255" ht="15.75" customHeight="1" s="13"/>
    <row r="256" ht="15.75" customHeight="1" s="13"/>
    <row r="257" ht="15.75" customHeight="1" s="13"/>
    <row r="258" ht="15.75" customHeight="1" s="13"/>
    <row r="259" ht="15.75" customHeight="1" s="13"/>
    <row r="260" ht="15.75" customHeight="1" s="13"/>
    <row r="261" ht="15.75" customHeight="1" s="13"/>
    <row r="262" ht="15.75" customHeight="1" s="13"/>
    <row r="263" ht="15.75" customHeight="1" s="13"/>
    <row r="264" ht="15.75" customHeight="1" s="13"/>
    <row r="265" ht="15.75" customHeight="1" s="13"/>
    <row r="266" ht="15.75" customHeight="1" s="13"/>
    <row r="267" ht="15.75" customHeight="1" s="13"/>
    <row r="268" ht="15.75" customHeight="1" s="13"/>
    <row r="269" ht="15.75" customHeight="1" s="13"/>
    <row r="270" ht="15.75" customHeight="1" s="13"/>
    <row r="271" ht="15.75" customHeight="1" s="13"/>
    <row r="272" ht="15.75" customHeight="1" s="13"/>
    <row r="273" ht="15.75" customHeight="1" s="13"/>
    <row r="274" ht="15.75" customHeight="1" s="13"/>
    <row r="275" ht="15.75" customHeight="1" s="13"/>
    <row r="276" ht="15.75" customHeight="1" s="13"/>
    <row r="277" ht="15.75" customHeight="1" s="13"/>
    <row r="278" ht="15.75" customHeight="1" s="13"/>
    <row r="279" ht="15.75" customHeight="1" s="13"/>
    <row r="280" ht="15.75" customHeight="1" s="13"/>
    <row r="281" ht="15.75" customHeight="1" s="13"/>
    <row r="282" ht="15.75" customHeight="1" s="13"/>
    <row r="283" ht="15.75" customHeight="1" s="13"/>
    <row r="284" ht="15.75" customHeight="1" s="13"/>
    <row r="285" ht="15.75" customHeight="1" s="13"/>
    <row r="286" ht="15.75" customHeight="1" s="13"/>
    <row r="287" ht="15.75" customHeight="1" s="13"/>
    <row r="288" ht="15.75" customHeight="1" s="13"/>
    <row r="289" ht="15.75" customHeight="1" s="13"/>
    <row r="290" ht="15.75" customHeight="1" s="13"/>
    <row r="291" ht="15.75" customHeight="1" s="13"/>
    <row r="292" ht="15.75" customHeight="1" s="13"/>
    <row r="293" ht="15.75" customHeight="1" s="13"/>
    <row r="294" ht="15.75" customHeight="1" s="13"/>
    <row r="295" ht="15.75" customHeight="1" s="13"/>
    <row r="296" ht="15.75" customHeight="1" s="13"/>
    <row r="297" ht="15.75" customHeight="1" s="13"/>
    <row r="298" ht="15.75" customHeight="1" s="13"/>
    <row r="299" ht="15.75" customHeight="1" s="13"/>
    <row r="300" ht="15.75" customHeight="1" s="13"/>
    <row r="301" ht="15.75" customHeight="1" s="13"/>
    <row r="302" ht="15.75" customHeight="1" s="13"/>
    <row r="303" ht="15.75" customHeight="1" s="13"/>
    <row r="304" ht="15.75" customHeight="1" s="13"/>
    <row r="305" ht="15.75" customHeight="1" s="13"/>
    <row r="306" ht="15.75" customHeight="1" s="13"/>
    <row r="307" ht="15.75" customHeight="1" s="13"/>
    <row r="308" ht="15.75" customHeight="1" s="13"/>
    <row r="309" ht="15.75" customHeight="1" s="13"/>
    <row r="310" ht="15.75" customHeight="1" s="13"/>
    <row r="311" ht="15.75" customHeight="1" s="13"/>
    <row r="312" ht="15.75" customHeight="1" s="13"/>
    <row r="313" ht="15.75" customHeight="1" s="13"/>
    <row r="314" ht="15.75" customHeight="1" s="13"/>
    <row r="315" ht="15.75" customHeight="1" s="13"/>
    <row r="316" ht="15.75" customHeight="1" s="13"/>
    <row r="317" ht="15.75" customHeight="1" s="13"/>
    <row r="318" ht="15.75" customHeight="1" s="13"/>
    <row r="319" ht="15.75" customHeight="1" s="13"/>
    <row r="320" ht="15.75" customHeight="1" s="13"/>
    <row r="321" ht="15.75" customHeight="1" s="13"/>
    <row r="322" ht="15.75" customHeight="1" s="13"/>
    <row r="323" ht="15.75" customHeight="1" s="13"/>
    <row r="324" ht="15.75" customHeight="1" s="13"/>
    <row r="325" ht="15.75" customHeight="1" s="13"/>
    <row r="326" ht="15.75" customHeight="1" s="13"/>
    <row r="327" ht="15.75" customHeight="1" s="13"/>
    <row r="328" ht="15.75" customHeight="1" s="13"/>
    <row r="329" ht="15.75" customHeight="1" s="13"/>
    <row r="330" ht="15.75" customHeight="1" s="13"/>
    <row r="331" ht="15.75" customHeight="1" s="13"/>
    <row r="332" ht="15.75" customHeight="1" s="13"/>
    <row r="333" ht="15.75" customHeight="1" s="13"/>
    <row r="334" ht="15.75" customHeight="1" s="13"/>
    <row r="335" ht="15.75" customHeight="1" s="13"/>
    <row r="336" ht="15.75" customHeight="1" s="13"/>
    <row r="337" ht="15.75" customHeight="1" s="13"/>
    <row r="338" ht="15.75" customHeight="1" s="13"/>
    <row r="339" ht="15.75" customHeight="1" s="13"/>
    <row r="340" ht="15.75" customHeight="1" s="13"/>
    <row r="341" ht="15.75" customHeight="1" s="13"/>
    <row r="342" ht="15.75" customHeight="1" s="13"/>
    <row r="343" ht="15.75" customHeight="1" s="13"/>
    <row r="344" ht="15.75" customHeight="1" s="13"/>
    <row r="345" ht="15.75" customHeight="1" s="13"/>
    <row r="346" ht="15.75" customHeight="1" s="13"/>
    <row r="347" ht="15.75" customHeight="1" s="13"/>
    <row r="348" ht="15.75" customHeight="1" s="13"/>
    <row r="349" ht="15.75" customHeight="1" s="13"/>
    <row r="350" ht="15.75" customHeight="1" s="13"/>
    <row r="351" ht="15.75" customHeight="1" s="13"/>
    <row r="352" ht="15.75" customHeight="1" s="13"/>
    <row r="353" ht="15.75" customHeight="1" s="13"/>
    <row r="354" ht="15.75" customHeight="1" s="13"/>
    <row r="355" ht="15.75" customHeight="1" s="13"/>
    <row r="356" ht="15.75" customHeight="1" s="13"/>
    <row r="357" ht="15.75" customHeight="1" s="13"/>
    <row r="358" ht="15.75" customHeight="1" s="13"/>
    <row r="359" ht="15.75" customHeight="1" s="13"/>
    <row r="360" ht="15.75" customHeight="1" s="13"/>
    <row r="361" ht="15.75" customHeight="1" s="13"/>
    <row r="362" ht="15.75" customHeight="1" s="13"/>
    <row r="363" ht="15.75" customHeight="1" s="13"/>
    <row r="364" ht="15.75" customHeight="1" s="13"/>
    <row r="365" ht="15.75" customHeight="1" s="13"/>
    <row r="366" ht="15.75" customHeight="1" s="13"/>
    <row r="367" ht="15.75" customHeight="1" s="13"/>
    <row r="368" ht="15.75" customHeight="1" s="13"/>
    <row r="369" ht="15.75" customHeight="1" s="13"/>
    <row r="370" ht="15.75" customHeight="1" s="13"/>
    <row r="371" ht="15.75" customHeight="1" s="13"/>
    <row r="372" ht="15.75" customHeight="1" s="13"/>
    <row r="373" ht="15.75" customHeight="1" s="13"/>
    <row r="374" ht="15.75" customHeight="1" s="13"/>
    <row r="375" ht="15.75" customHeight="1" s="13"/>
    <row r="376" ht="15.75" customHeight="1" s="13"/>
    <row r="377" ht="15.75" customHeight="1" s="13"/>
    <row r="378" ht="15.75" customHeight="1" s="13"/>
    <row r="379" ht="15.75" customHeight="1" s="13"/>
    <row r="380" ht="15.75" customHeight="1" s="13"/>
    <row r="381" ht="15.75" customHeight="1" s="13"/>
    <row r="382" ht="15.75" customHeight="1" s="13"/>
    <row r="383" ht="15.75" customHeight="1" s="13"/>
    <row r="384" ht="15.75" customHeight="1" s="13"/>
    <row r="385" ht="15.75" customHeight="1" s="13"/>
    <row r="386" ht="15.75" customHeight="1" s="13"/>
    <row r="387" ht="15.75" customHeight="1" s="13"/>
    <row r="388" ht="15.75" customHeight="1" s="13"/>
    <row r="389" ht="15.75" customHeight="1" s="13"/>
    <row r="390" ht="15.75" customHeight="1" s="13"/>
    <row r="391" ht="15.75" customHeight="1" s="13"/>
    <row r="392" ht="15.75" customHeight="1" s="13"/>
    <row r="393" ht="15.75" customHeight="1" s="13"/>
    <row r="394" ht="15.75" customHeight="1" s="13"/>
    <row r="395" ht="15.75" customHeight="1" s="13"/>
    <row r="396" ht="15.75" customHeight="1" s="13"/>
    <row r="397" ht="15.75" customHeight="1" s="13"/>
    <row r="398" ht="15.75" customHeight="1" s="13"/>
    <row r="399" ht="15.75" customHeight="1" s="13"/>
    <row r="400" ht="15.75" customHeight="1" s="13"/>
    <row r="401" ht="15.75" customHeight="1" s="13"/>
    <row r="402" ht="15.75" customHeight="1" s="13"/>
    <row r="403" ht="15.75" customHeight="1" s="13"/>
    <row r="404" ht="15.75" customHeight="1" s="13"/>
    <row r="405" ht="15.75" customHeight="1" s="13"/>
    <row r="406" ht="15.75" customHeight="1" s="13"/>
    <row r="407" ht="15.75" customHeight="1" s="13"/>
    <row r="408" ht="15.75" customHeight="1" s="13"/>
    <row r="409" ht="15.75" customHeight="1" s="13"/>
    <row r="410" ht="15.75" customHeight="1" s="13"/>
    <row r="411" ht="15.75" customHeight="1" s="13"/>
    <row r="412" ht="15.75" customHeight="1" s="13"/>
    <row r="413" ht="15.75" customHeight="1" s="13"/>
    <row r="414" ht="15.75" customHeight="1" s="13"/>
    <row r="415" ht="15.75" customHeight="1" s="13"/>
    <row r="416" ht="15.75" customHeight="1" s="13"/>
    <row r="417" ht="15.75" customHeight="1" s="13"/>
    <row r="418" ht="15.75" customHeight="1" s="13"/>
    <row r="419" ht="15.75" customHeight="1" s="13"/>
    <row r="420" ht="15.75" customHeight="1" s="13"/>
    <row r="421" ht="15.75" customHeight="1" s="13"/>
    <row r="422" ht="15.75" customHeight="1" s="13"/>
    <row r="423" ht="15.75" customHeight="1" s="13"/>
    <row r="424" ht="15.75" customHeight="1" s="13"/>
    <row r="425" ht="15.75" customHeight="1" s="13"/>
    <row r="426" ht="15.75" customHeight="1" s="13"/>
    <row r="427" ht="15.75" customHeight="1" s="13"/>
    <row r="428" ht="15.75" customHeight="1" s="13"/>
    <row r="429" ht="15.75" customHeight="1" s="13"/>
    <row r="430" ht="15.75" customHeight="1" s="13"/>
    <row r="431" ht="15.75" customHeight="1" s="13"/>
    <row r="432" ht="15.75" customHeight="1" s="13"/>
    <row r="433" ht="15.75" customHeight="1" s="13"/>
    <row r="434" ht="15.75" customHeight="1" s="13"/>
    <row r="435" ht="15.75" customHeight="1" s="13"/>
    <row r="436" ht="15.75" customHeight="1" s="13"/>
    <row r="437" ht="15.75" customHeight="1" s="13"/>
    <row r="438" ht="15.75" customHeight="1" s="13"/>
    <row r="439" ht="15.75" customHeight="1" s="13"/>
    <row r="440" ht="15.75" customHeight="1" s="13"/>
    <row r="441" ht="15.75" customHeight="1" s="13"/>
    <row r="442" ht="15.75" customHeight="1" s="13"/>
    <row r="443" ht="15.75" customHeight="1" s="13"/>
    <row r="444" ht="15.75" customHeight="1" s="13"/>
    <row r="445" ht="15.75" customHeight="1" s="13"/>
    <row r="446" ht="15.75" customHeight="1" s="13"/>
    <row r="447" ht="15.75" customHeight="1" s="13"/>
    <row r="448" ht="15.75" customHeight="1" s="13"/>
    <row r="449" ht="15.75" customHeight="1" s="13"/>
    <row r="450" ht="15.75" customHeight="1" s="13"/>
    <row r="451" ht="15.75" customHeight="1" s="13"/>
    <row r="452" ht="15.75" customHeight="1" s="13"/>
    <row r="453" ht="15.75" customHeight="1" s="13"/>
    <row r="454" ht="15.75" customHeight="1" s="13"/>
    <row r="455" ht="15.75" customHeight="1" s="13"/>
    <row r="456" ht="15.75" customHeight="1" s="13"/>
    <row r="457" ht="15.75" customHeight="1" s="13"/>
    <row r="458" ht="15.75" customHeight="1" s="13"/>
    <row r="459" ht="15.75" customHeight="1" s="13"/>
    <row r="460" ht="15.75" customHeight="1" s="13"/>
    <row r="461" ht="15.75" customHeight="1" s="13"/>
    <row r="462" ht="15.75" customHeight="1" s="13"/>
    <row r="463" ht="15.75" customHeight="1" s="13"/>
    <row r="464" ht="15.75" customHeight="1" s="13"/>
    <row r="465" ht="15.75" customHeight="1" s="13"/>
    <row r="466" ht="15.75" customHeight="1" s="13"/>
    <row r="467" ht="15.75" customHeight="1" s="13"/>
    <row r="468" ht="15.75" customHeight="1" s="13"/>
    <row r="469" ht="15.75" customHeight="1" s="13"/>
    <row r="470" ht="15.75" customHeight="1" s="13"/>
    <row r="471" ht="15.75" customHeight="1" s="13"/>
    <row r="472" ht="15.75" customHeight="1" s="13"/>
    <row r="473" ht="15.75" customHeight="1" s="13"/>
    <row r="474" ht="15.75" customHeight="1" s="13"/>
    <row r="475" ht="15.75" customHeight="1" s="13"/>
    <row r="476" ht="15.75" customHeight="1" s="13"/>
    <row r="477" ht="15.75" customHeight="1" s="13"/>
    <row r="478" ht="15.75" customHeight="1" s="13"/>
    <row r="479" ht="15.75" customHeight="1" s="13"/>
    <row r="480" ht="15.75" customHeight="1" s="13"/>
    <row r="481" ht="15.75" customHeight="1" s="13"/>
    <row r="482" ht="15.75" customHeight="1" s="13"/>
    <row r="483" ht="15.75" customHeight="1" s="13"/>
    <row r="484" ht="15.75" customHeight="1" s="13"/>
    <row r="485" ht="15.75" customHeight="1" s="13"/>
    <row r="486" ht="15.75" customHeight="1" s="13"/>
    <row r="487" ht="15.75" customHeight="1" s="13"/>
    <row r="488" ht="15.75" customHeight="1" s="13"/>
    <row r="489" ht="15.75" customHeight="1" s="13"/>
    <row r="490" ht="15.75" customHeight="1" s="13"/>
    <row r="491" ht="15.75" customHeight="1" s="13"/>
    <row r="492" ht="15.75" customHeight="1" s="13"/>
    <row r="493" ht="15.75" customHeight="1" s="13"/>
    <row r="494" ht="15.75" customHeight="1" s="13"/>
    <row r="495" ht="15.75" customHeight="1" s="13"/>
    <row r="496" ht="15.75" customHeight="1" s="13"/>
    <row r="497" ht="15.75" customHeight="1" s="13"/>
    <row r="498" ht="15.75" customHeight="1" s="13"/>
    <row r="499" ht="15.75" customHeight="1" s="13"/>
    <row r="500" ht="15.75" customHeight="1" s="13"/>
    <row r="501" ht="15.75" customHeight="1" s="13"/>
    <row r="502" ht="15.75" customHeight="1" s="13"/>
    <row r="503" ht="15.75" customHeight="1" s="13"/>
    <row r="504" ht="15.75" customHeight="1" s="13"/>
    <row r="505" ht="15.75" customHeight="1" s="13"/>
    <row r="506" ht="15.75" customHeight="1" s="13"/>
    <row r="507" ht="15.75" customHeight="1" s="13"/>
    <row r="508" ht="15.75" customHeight="1" s="13"/>
    <row r="509" ht="15.75" customHeight="1" s="13"/>
    <row r="510" ht="15.75" customHeight="1" s="13"/>
    <row r="511" ht="15.75" customHeight="1" s="13"/>
    <row r="512" ht="15.75" customHeight="1" s="13"/>
    <row r="513" ht="15.75" customHeight="1" s="13"/>
    <row r="514" ht="15.75" customHeight="1" s="13"/>
    <row r="515" ht="15.75" customHeight="1" s="13"/>
    <row r="516" ht="15.75" customHeight="1" s="13"/>
    <row r="517" ht="15.75" customHeight="1" s="13"/>
    <row r="518" ht="15.75" customHeight="1" s="13"/>
    <row r="519" ht="15.75" customHeight="1" s="13"/>
    <row r="520" ht="15.75" customHeight="1" s="13"/>
    <row r="521" ht="15.75" customHeight="1" s="13"/>
    <row r="522" ht="15.75" customHeight="1" s="13"/>
    <row r="523" ht="15.75" customHeight="1" s="13"/>
    <row r="524" ht="15.75" customHeight="1" s="13"/>
    <row r="525" ht="15.75" customHeight="1" s="13"/>
    <row r="526" ht="15.75" customHeight="1" s="13"/>
    <row r="527" ht="15.75" customHeight="1" s="13"/>
    <row r="528" ht="15.75" customHeight="1" s="13"/>
    <row r="529" ht="15.75" customHeight="1" s="13"/>
    <row r="530" ht="15.75" customHeight="1" s="13"/>
    <row r="531" ht="15.75" customHeight="1" s="13"/>
    <row r="532" ht="15.75" customHeight="1" s="13"/>
    <row r="533" ht="15.75" customHeight="1" s="13"/>
    <row r="534" ht="15.75" customHeight="1" s="13"/>
    <row r="535" ht="15.75" customHeight="1" s="13"/>
    <row r="536" ht="15.75" customHeight="1" s="13"/>
    <row r="537" ht="15.75" customHeight="1" s="13"/>
    <row r="538" ht="15.75" customHeight="1" s="13"/>
    <row r="539" ht="15.75" customHeight="1" s="13"/>
    <row r="540" ht="15.75" customHeight="1" s="13"/>
    <row r="541" ht="15.75" customHeight="1" s="13"/>
    <row r="542" ht="15.75" customHeight="1" s="13"/>
    <row r="543" ht="15.75" customHeight="1" s="13"/>
    <row r="544" ht="15.75" customHeight="1" s="13"/>
    <row r="545" ht="15.75" customHeight="1" s="13"/>
    <row r="546" ht="15.75" customHeight="1" s="13"/>
    <row r="547" ht="15.75" customHeight="1" s="13"/>
    <row r="548" ht="15.75" customHeight="1" s="13"/>
    <row r="549" ht="15.75" customHeight="1" s="13"/>
    <row r="550" ht="15.75" customHeight="1" s="13"/>
    <row r="551" ht="15.75" customHeight="1" s="13"/>
    <row r="552" ht="15.75" customHeight="1" s="13"/>
    <row r="553" ht="15.75" customHeight="1" s="13"/>
    <row r="554" ht="15.75" customHeight="1" s="13"/>
    <row r="555" ht="15.75" customHeight="1" s="13"/>
    <row r="556" ht="15.75" customHeight="1" s="13"/>
    <row r="557" ht="15.75" customHeight="1" s="13"/>
    <row r="558" ht="15.75" customHeight="1" s="13"/>
    <row r="559" ht="15.75" customHeight="1" s="13"/>
    <row r="560" ht="15.75" customHeight="1" s="13"/>
    <row r="561" ht="15.75" customHeight="1" s="13"/>
    <row r="562" ht="15.75" customHeight="1" s="13"/>
    <row r="563" ht="15.75" customHeight="1" s="13"/>
    <row r="564" ht="15.75" customHeight="1" s="13"/>
    <row r="565" ht="15.75" customHeight="1" s="13"/>
    <row r="566" ht="15.75" customHeight="1" s="13"/>
    <row r="567" ht="15.75" customHeight="1" s="13"/>
    <row r="568" ht="15.75" customHeight="1" s="13"/>
    <row r="569" ht="15.75" customHeight="1" s="13"/>
    <row r="570" ht="15.75" customHeight="1" s="13"/>
    <row r="571" ht="15.75" customHeight="1" s="13"/>
    <row r="572" ht="15.75" customHeight="1" s="13"/>
    <row r="573" ht="15.75" customHeight="1" s="13"/>
    <row r="574" ht="15.75" customHeight="1" s="13"/>
    <row r="575" ht="15.75" customHeight="1" s="13"/>
    <row r="576" ht="15.75" customHeight="1" s="13"/>
    <row r="577" ht="15.75" customHeight="1" s="13"/>
    <row r="578" ht="15.75" customHeight="1" s="13"/>
    <row r="579" ht="15.75" customHeight="1" s="13"/>
    <row r="580" ht="15.75" customHeight="1" s="13"/>
    <row r="581" ht="15.75" customHeight="1" s="13"/>
    <row r="582" ht="15.75" customHeight="1" s="13"/>
    <row r="583" ht="15.75" customHeight="1" s="13"/>
    <row r="584" ht="15.75" customHeight="1" s="13"/>
    <row r="585" ht="15.75" customHeight="1" s="13"/>
    <row r="586" ht="15.75" customHeight="1" s="13"/>
    <row r="587" ht="15.75" customHeight="1" s="13"/>
    <row r="588" ht="15.75" customHeight="1" s="13"/>
    <row r="589" ht="15.75" customHeight="1" s="13"/>
    <row r="590" ht="15.75" customHeight="1" s="13"/>
    <row r="591" ht="15.75" customHeight="1" s="13"/>
    <row r="592" ht="15.75" customHeight="1" s="13"/>
    <row r="593" ht="15.75" customHeight="1" s="13"/>
    <row r="594" ht="15.75" customHeight="1" s="13"/>
    <row r="595" ht="15.75" customHeight="1" s="13"/>
    <row r="596" ht="15.75" customHeight="1" s="13"/>
    <row r="597" ht="15.75" customHeight="1" s="13"/>
    <row r="598" ht="15.75" customHeight="1" s="13"/>
    <row r="599" ht="15.75" customHeight="1" s="13"/>
    <row r="600" ht="15.75" customHeight="1" s="13"/>
    <row r="601" ht="15.75" customHeight="1" s="13"/>
    <row r="602" ht="15.75" customHeight="1" s="13"/>
    <row r="603" ht="15.75" customHeight="1" s="13"/>
    <row r="604" ht="15.75" customHeight="1" s="13"/>
    <row r="605" ht="15.75" customHeight="1" s="13"/>
    <row r="606" ht="15.75" customHeight="1" s="13"/>
    <row r="607" ht="15.75" customHeight="1" s="13"/>
    <row r="608" ht="15.75" customHeight="1" s="13"/>
    <row r="609" ht="15.75" customHeight="1" s="13"/>
    <row r="610" ht="15.75" customHeight="1" s="13"/>
    <row r="611" ht="15.75" customHeight="1" s="13"/>
    <row r="612" ht="15.75" customHeight="1" s="13"/>
    <row r="613" ht="15.75" customHeight="1" s="13"/>
    <row r="614" ht="15.75" customHeight="1" s="13"/>
    <row r="615" ht="15.75" customHeight="1" s="13"/>
    <row r="616" ht="15.75" customHeight="1" s="13"/>
    <row r="617" ht="15.75" customHeight="1" s="13"/>
    <row r="618" ht="15.75" customHeight="1" s="13"/>
    <row r="619" ht="15.75" customHeight="1" s="13"/>
    <row r="620" ht="15.75" customHeight="1" s="13"/>
    <row r="621" ht="15.75" customHeight="1" s="13"/>
    <row r="622" ht="15.75" customHeight="1" s="13"/>
    <row r="623" ht="15.75" customHeight="1" s="13"/>
    <row r="624" ht="15.75" customHeight="1" s="13"/>
    <row r="625" ht="15.75" customHeight="1" s="13"/>
    <row r="626" ht="15.75" customHeight="1" s="13"/>
    <row r="627" ht="15.75" customHeight="1" s="13"/>
    <row r="628" ht="15.75" customHeight="1" s="13"/>
    <row r="629" ht="15.75" customHeight="1" s="13"/>
    <row r="630" ht="15.75" customHeight="1" s="13"/>
    <row r="631" ht="15.75" customHeight="1" s="13"/>
    <row r="632" ht="15.75" customHeight="1" s="13"/>
    <row r="633" ht="15.75" customHeight="1" s="13"/>
    <row r="634" ht="15.75" customHeight="1" s="13"/>
    <row r="635" ht="15.75" customHeight="1" s="13"/>
    <row r="636" ht="15.75" customHeight="1" s="13"/>
    <row r="637" ht="15.75" customHeight="1" s="13"/>
    <row r="638" ht="15.75" customHeight="1" s="13"/>
    <row r="639" ht="15.75" customHeight="1" s="13"/>
    <row r="640" ht="15.75" customHeight="1" s="13"/>
    <row r="641" ht="15.75" customHeight="1" s="13"/>
    <row r="642" ht="15.75" customHeight="1" s="13"/>
    <row r="643" ht="15.75" customHeight="1" s="13"/>
    <row r="644" ht="15.75" customHeight="1" s="13"/>
    <row r="645" ht="15.75" customHeight="1" s="13"/>
    <row r="646" ht="15.75" customHeight="1" s="13"/>
    <row r="647" ht="15.75" customHeight="1" s="13"/>
    <row r="648" ht="15.75" customHeight="1" s="13"/>
    <row r="649" ht="15.75" customHeight="1" s="13"/>
    <row r="650" ht="15.75" customHeight="1" s="13"/>
    <row r="651" ht="15.75" customHeight="1" s="13"/>
    <row r="652" ht="15.75" customHeight="1" s="13"/>
    <row r="653" ht="15.75" customHeight="1" s="13"/>
    <row r="654" ht="15.75" customHeight="1" s="13"/>
    <row r="655" ht="15.75" customHeight="1" s="13"/>
    <row r="656" ht="15.75" customHeight="1" s="13"/>
    <row r="657" ht="15.75" customHeight="1" s="13"/>
    <row r="658" ht="15.75" customHeight="1" s="13"/>
    <row r="659" ht="15.75" customHeight="1" s="13"/>
    <row r="660" ht="15.75" customHeight="1" s="13"/>
    <row r="661" ht="15.75" customHeight="1" s="13"/>
    <row r="662" ht="15.75" customHeight="1" s="13"/>
    <row r="663" ht="15.75" customHeight="1" s="13"/>
    <row r="664" ht="15.75" customHeight="1" s="13"/>
    <row r="665" ht="15.75" customHeight="1" s="13"/>
    <row r="666" ht="15.75" customHeight="1" s="13"/>
    <row r="667" ht="15.75" customHeight="1" s="13"/>
    <row r="668" ht="15.75" customHeight="1" s="13"/>
    <row r="669" ht="15.75" customHeight="1" s="13"/>
    <row r="670" ht="15.75" customHeight="1" s="13"/>
    <row r="671" ht="15.75" customHeight="1" s="13"/>
    <row r="672" ht="15.75" customHeight="1" s="13"/>
    <row r="673" ht="15.75" customHeight="1" s="13"/>
    <row r="674" ht="15.75" customHeight="1" s="13"/>
    <row r="675" ht="15.75" customHeight="1" s="13"/>
    <row r="676" ht="15.75" customHeight="1" s="13"/>
    <row r="677" ht="15.75" customHeight="1" s="13"/>
    <row r="678" ht="15.75" customHeight="1" s="13"/>
    <row r="679" ht="15.75" customHeight="1" s="13"/>
    <row r="680" ht="15.75" customHeight="1" s="13"/>
    <row r="681" ht="15.75" customHeight="1" s="13"/>
    <row r="682" ht="15.75" customHeight="1" s="13"/>
    <row r="683" ht="15.75" customHeight="1" s="13"/>
    <row r="684" ht="15.75" customHeight="1" s="13"/>
    <row r="685" ht="15.75" customHeight="1" s="13"/>
    <row r="686" ht="15.75" customHeight="1" s="13"/>
    <row r="687" ht="15.75" customHeight="1" s="13"/>
    <row r="688" ht="15.75" customHeight="1" s="13"/>
    <row r="689" ht="15.75" customHeight="1" s="13"/>
    <row r="690" ht="15.75" customHeight="1" s="13"/>
    <row r="691" ht="15.75" customHeight="1" s="13"/>
    <row r="692" ht="15.75" customHeight="1" s="13"/>
    <row r="693" ht="15.75" customHeight="1" s="13"/>
    <row r="694" ht="15.75" customHeight="1" s="13"/>
    <row r="695" ht="15.75" customHeight="1" s="13"/>
    <row r="696" ht="15.75" customHeight="1" s="13"/>
    <row r="697" ht="15.75" customHeight="1" s="13"/>
    <row r="698" ht="15.75" customHeight="1" s="13"/>
    <row r="699" ht="15.75" customHeight="1" s="13"/>
    <row r="700" ht="15.75" customHeight="1" s="13"/>
    <row r="701" ht="15.75" customHeight="1" s="13"/>
    <row r="702" ht="15.75" customHeight="1" s="13"/>
    <row r="703" ht="15.75" customHeight="1" s="13"/>
    <row r="704" ht="15.75" customHeight="1" s="13"/>
    <row r="705" ht="15.75" customHeight="1" s="13"/>
    <row r="706" ht="15.75" customHeight="1" s="13"/>
    <row r="707" ht="15.75" customHeight="1" s="13"/>
    <row r="708" ht="15.75" customHeight="1" s="13"/>
    <row r="709" ht="15.75" customHeight="1" s="13"/>
    <row r="710" ht="15.75" customHeight="1" s="13"/>
    <row r="711" ht="15.75" customHeight="1" s="13"/>
    <row r="712" ht="15.75" customHeight="1" s="13"/>
    <row r="713" ht="15.75" customHeight="1" s="13"/>
    <row r="714" ht="15.75" customHeight="1" s="13"/>
    <row r="715" ht="15.75" customHeight="1" s="13"/>
    <row r="716" ht="15.75" customHeight="1" s="13"/>
    <row r="717" ht="15.75" customHeight="1" s="13"/>
    <row r="718" ht="15.75" customHeight="1" s="13"/>
    <row r="719" ht="15.75" customHeight="1" s="13"/>
    <row r="720" ht="15.75" customHeight="1" s="13"/>
    <row r="721" ht="15.75" customHeight="1" s="13"/>
    <row r="722" ht="15.75" customHeight="1" s="13"/>
    <row r="723" ht="15.75" customHeight="1" s="13"/>
    <row r="724" ht="15.75" customHeight="1" s="13"/>
    <row r="725" ht="15.75" customHeight="1" s="13"/>
    <row r="726" ht="15.75" customHeight="1" s="13"/>
    <row r="727" ht="15.75" customHeight="1" s="13"/>
    <row r="728" ht="15.75" customHeight="1" s="13"/>
    <row r="729" ht="15.75" customHeight="1" s="13"/>
    <row r="730" ht="15.75" customHeight="1" s="13"/>
    <row r="731" ht="15.75" customHeight="1" s="13"/>
    <row r="732" ht="15.75" customHeight="1" s="13"/>
    <row r="733" ht="15.75" customHeight="1" s="13"/>
    <row r="734" ht="15.75" customHeight="1" s="13"/>
    <row r="735" ht="15.75" customHeight="1" s="13"/>
    <row r="736" ht="15.75" customHeight="1" s="13"/>
    <row r="737" ht="15.75" customHeight="1" s="13"/>
    <row r="738" ht="15.75" customHeight="1" s="13"/>
    <row r="739" ht="15.75" customHeight="1" s="13"/>
    <row r="740" ht="15.75" customHeight="1" s="13"/>
    <row r="741" ht="15.75" customHeight="1" s="13"/>
    <row r="742" ht="15.75" customHeight="1" s="13"/>
    <row r="743" ht="15.75" customHeight="1" s="13"/>
    <row r="744" ht="15.75" customHeight="1" s="13"/>
    <row r="745" ht="15.75" customHeight="1" s="13"/>
    <row r="746" ht="15.75" customHeight="1" s="13"/>
    <row r="747" ht="15.75" customHeight="1" s="13"/>
    <row r="748" ht="15.75" customHeight="1" s="13"/>
    <row r="749" ht="15.75" customHeight="1" s="13"/>
    <row r="750" ht="15.75" customHeight="1" s="13"/>
    <row r="751" ht="15.75" customHeight="1" s="13"/>
    <row r="752" ht="15.75" customHeight="1" s="13"/>
    <row r="753" ht="15.75" customHeight="1" s="13"/>
    <row r="754" ht="15.75" customHeight="1" s="13"/>
    <row r="755" ht="15.75" customHeight="1" s="13"/>
    <row r="756" ht="15.75" customHeight="1" s="13"/>
    <row r="757" ht="15.75" customHeight="1" s="13"/>
    <row r="758" ht="15.75" customHeight="1" s="13"/>
    <row r="759" ht="15.75" customHeight="1" s="13"/>
    <row r="760" ht="15.75" customHeight="1" s="13"/>
    <row r="761" ht="15.75" customHeight="1" s="13"/>
    <row r="762" ht="15.75" customHeight="1" s="13"/>
    <row r="763" ht="15.75" customHeight="1" s="13"/>
    <row r="764" ht="15.75" customHeight="1" s="13"/>
    <row r="765" ht="15.75" customHeight="1" s="13"/>
    <row r="766" ht="15.75" customHeight="1" s="13"/>
    <row r="767" ht="15.75" customHeight="1" s="13"/>
    <row r="768" ht="15.75" customHeight="1" s="13"/>
    <row r="769" ht="15.75" customHeight="1" s="13"/>
    <row r="770" ht="15.75" customHeight="1" s="13"/>
    <row r="771" ht="15.75" customHeight="1" s="13"/>
    <row r="772" ht="15.75" customHeight="1" s="13"/>
    <row r="773" ht="15.75" customHeight="1" s="13"/>
    <row r="774" ht="15.75" customHeight="1" s="13"/>
    <row r="775" ht="15.75" customHeight="1" s="13"/>
    <row r="776" ht="15.75" customHeight="1" s="13"/>
    <row r="777" ht="15.75" customHeight="1" s="13"/>
    <row r="778" ht="15.75" customHeight="1" s="13"/>
    <row r="779" ht="15.75" customHeight="1" s="13"/>
    <row r="780" ht="15.75" customHeight="1" s="13"/>
    <row r="781" ht="15.75" customHeight="1" s="13"/>
    <row r="782" ht="15.75" customHeight="1" s="13"/>
    <row r="783" ht="15.75" customHeight="1" s="13"/>
    <row r="784" ht="15.75" customHeight="1" s="13"/>
    <row r="785" ht="15.75" customHeight="1" s="13"/>
    <row r="786" ht="15.75" customHeight="1" s="13"/>
    <row r="787" ht="15.75" customHeight="1" s="13"/>
    <row r="788" ht="15.75" customHeight="1" s="13"/>
    <row r="789" ht="15.75" customHeight="1" s="13"/>
    <row r="790" ht="15.75" customHeight="1" s="13"/>
    <row r="791" ht="15.75" customHeight="1" s="13"/>
    <row r="792" ht="15.75" customHeight="1" s="13"/>
    <row r="793" ht="15.75" customHeight="1" s="13"/>
    <row r="794" ht="15.75" customHeight="1" s="13"/>
    <row r="795" ht="15.75" customHeight="1" s="13"/>
    <row r="796" ht="15.75" customHeight="1" s="13"/>
    <row r="797" ht="15.75" customHeight="1" s="13"/>
    <row r="798" ht="15.75" customHeight="1" s="13"/>
    <row r="799" ht="15.75" customHeight="1" s="13"/>
    <row r="800" ht="15.75" customHeight="1" s="13"/>
    <row r="801" ht="15.75" customHeight="1" s="13"/>
    <row r="802" ht="15.75" customHeight="1" s="13"/>
    <row r="803" ht="15.75" customHeight="1" s="13"/>
    <row r="804" ht="15.75" customHeight="1" s="13"/>
    <row r="805" ht="15.75" customHeight="1" s="13"/>
    <row r="806" ht="15.75" customHeight="1" s="13"/>
    <row r="807" ht="15.75" customHeight="1" s="13"/>
    <row r="808" ht="15.75" customHeight="1" s="13"/>
    <row r="809" ht="15.75" customHeight="1" s="13"/>
    <row r="810" ht="15.75" customHeight="1" s="13"/>
    <row r="811" ht="15.75" customHeight="1" s="13"/>
    <row r="812" ht="15.75" customHeight="1" s="13"/>
    <row r="813" ht="15.75" customHeight="1" s="13"/>
    <row r="814" ht="15.75" customHeight="1" s="13"/>
    <row r="815" ht="15.75" customHeight="1" s="13"/>
    <row r="816" ht="15.75" customHeight="1" s="13"/>
    <row r="817" ht="15.75" customHeight="1" s="13"/>
    <row r="818" ht="15.75" customHeight="1" s="13"/>
    <row r="819" ht="15.75" customHeight="1" s="13"/>
    <row r="820" ht="15.75" customHeight="1" s="13"/>
    <row r="821" ht="15.75" customHeight="1" s="13"/>
    <row r="822" ht="15.75" customHeight="1" s="13"/>
    <row r="823" ht="15.75" customHeight="1" s="13"/>
    <row r="824" ht="15.75" customHeight="1" s="13"/>
    <row r="825" ht="15.75" customHeight="1" s="13"/>
    <row r="826" ht="15.75" customHeight="1" s="13"/>
    <row r="827" ht="15.75" customHeight="1" s="13"/>
    <row r="828" ht="15.75" customHeight="1" s="13"/>
    <row r="829" ht="15.75" customHeight="1" s="13"/>
    <row r="830" ht="15.75" customHeight="1" s="13"/>
    <row r="831" ht="15.75" customHeight="1" s="13"/>
    <row r="832" ht="15.75" customHeight="1" s="13"/>
    <row r="833" ht="15.75" customHeight="1" s="13"/>
    <row r="834" ht="15.75" customHeight="1" s="13"/>
    <row r="835" ht="15.75" customHeight="1" s="13"/>
    <row r="836" ht="15.75" customHeight="1" s="13"/>
    <row r="837" ht="15.75" customHeight="1" s="13"/>
    <row r="838" ht="15.75" customHeight="1" s="13"/>
    <row r="839" ht="15.75" customHeight="1" s="13"/>
    <row r="840" ht="15.75" customHeight="1" s="13"/>
    <row r="841" ht="15.75" customHeight="1" s="13"/>
    <row r="842" ht="15.75" customHeight="1" s="13"/>
    <row r="843" ht="15.75" customHeight="1" s="13"/>
    <row r="844" ht="15.75" customHeight="1" s="13"/>
    <row r="845" ht="15.75" customHeight="1" s="13"/>
    <row r="846" ht="15.75" customHeight="1" s="13"/>
    <row r="847" ht="15.75" customHeight="1" s="13"/>
    <row r="848" ht="15.75" customHeight="1" s="13"/>
    <row r="849" ht="15.75" customHeight="1" s="13"/>
    <row r="850" ht="15.75" customHeight="1" s="13"/>
    <row r="851" ht="15.75" customHeight="1" s="13"/>
    <row r="852" ht="15.75" customHeight="1" s="13"/>
    <row r="853" ht="15.75" customHeight="1" s="13"/>
    <row r="854" ht="15.75" customHeight="1" s="13"/>
    <row r="855" ht="15.75" customHeight="1" s="13"/>
    <row r="856" ht="15.75" customHeight="1" s="13"/>
    <row r="857" ht="15.75" customHeight="1" s="13"/>
    <row r="858" ht="15.75" customHeight="1" s="13"/>
    <row r="859" ht="15.75" customHeight="1" s="13"/>
    <row r="860" ht="15.75" customHeight="1" s="13"/>
    <row r="861" ht="15.75" customHeight="1" s="13"/>
    <row r="862" ht="15.75" customHeight="1" s="13"/>
    <row r="863" ht="15.75" customHeight="1" s="13"/>
    <row r="864" ht="15.75" customHeight="1" s="13"/>
    <row r="865" ht="15.75" customHeight="1" s="13"/>
    <row r="866" ht="15.75" customHeight="1" s="13"/>
    <row r="867" ht="15.75" customHeight="1" s="13"/>
    <row r="868" ht="15.75" customHeight="1" s="13"/>
    <row r="869" ht="15.75" customHeight="1" s="13"/>
    <row r="870" ht="15.75" customHeight="1" s="13"/>
    <row r="871" ht="15.75" customHeight="1" s="13"/>
    <row r="872" ht="15.75" customHeight="1" s="13"/>
    <row r="873" ht="15.75" customHeight="1" s="13"/>
    <row r="874" ht="15.75" customHeight="1" s="13"/>
    <row r="875" ht="15.75" customHeight="1" s="13"/>
    <row r="876" ht="15.75" customHeight="1" s="13"/>
    <row r="877" ht="15.75" customHeight="1" s="13"/>
    <row r="878" ht="15.75" customHeight="1" s="13"/>
    <row r="879" ht="15.75" customHeight="1" s="13"/>
    <row r="880" ht="15.75" customHeight="1" s="13"/>
    <row r="881" ht="15.75" customHeight="1" s="13"/>
    <row r="882" ht="15.75" customHeight="1" s="13"/>
    <row r="883" ht="15.75" customHeight="1" s="13"/>
    <row r="884" ht="15.75" customHeight="1" s="13"/>
    <row r="885" ht="15.75" customHeight="1" s="13"/>
    <row r="886" ht="15.75" customHeight="1" s="13"/>
    <row r="887" ht="15.75" customHeight="1" s="13"/>
    <row r="888" ht="15.75" customHeight="1" s="13"/>
    <row r="889" ht="15.75" customHeight="1" s="13"/>
    <row r="890" ht="15.75" customHeight="1" s="13"/>
    <row r="891" ht="15.75" customHeight="1" s="13"/>
    <row r="892" ht="15.75" customHeight="1" s="13"/>
    <row r="893" ht="15.75" customHeight="1" s="13"/>
    <row r="894" ht="15.75" customHeight="1" s="13"/>
    <row r="895" ht="15.75" customHeight="1" s="13"/>
    <row r="896" ht="15.75" customHeight="1" s="13"/>
    <row r="897" ht="15.75" customHeight="1" s="13"/>
    <row r="898" ht="15.75" customHeight="1" s="13"/>
    <row r="899" ht="15.75" customHeight="1" s="13"/>
    <row r="900" ht="15.75" customHeight="1" s="13"/>
    <row r="901" ht="15.75" customHeight="1" s="13"/>
    <row r="902" ht="15.75" customHeight="1" s="13"/>
    <row r="903" ht="15.75" customHeight="1" s="13"/>
    <row r="904" ht="15.75" customHeight="1" s="13"/>
    <row r="905" ht="15.75" customHeight="1" s="13"/>
    <row r="906" ht="15.75" customHeight="1" s="13"/>
    <row r="907" ht="15.75" customHeight="1" s="13"/>
    <row r="908" ht="15.75" customHeight="1" s="13"/>
    <row r="909" ht="15.75" customHeight="1" s="13"/>
    <row r="910" ht="15.75" customHeight="1" s="13"/>
    <row r="911" ht="15.75" customHeight="1" s="13"/>
    <row r="912" ht="15.75" customHeight="1" s="13"/>
    <row r="913" ht="15.75" customHeight="1" s="13"/>
    <row r="914" ht="15.75" customHeight="1" s="13"/>
    <row r="915" ht="15.75" customHeight="1" s="13"/>
    <row r="916" ht="15.75" customHeight="1" s="13"/>
    <row r="917" ht="15.75" customHeight="1" s="13"/>
    <row r="918" ht="15.75" customHeight="1" s="13"/>
    <row r="919" ht="15.75" customHeight="1" s="13"/>
    <row r="920" ht="15.75" customHeight="1" s="13"/>
    <row r="921" ht="15.75" customHeight="1" s="13"/>
    <row r="922" ht="15.75" customHeight="1" s="13"/>
    <row r="923" ht="15.75" customHeight="1" s="13"/>
    <row r="924" ht="15.75" customHeight="1" s="13"/>
    <row r="925" ht="15.75" customHeight="1" s="13"/>
    <row r="926" ht="15.75" customHeight="1" s="13"/>
    <row r="927" ht="15.75" customHeight="1" s="13"/>
    <row r="928" ht="15.75" customHeight="1" s="13"/>
    <row r="929" ht="15.75" customHeight="1" s="13"/>
    <row r="930" ht="15.75" customHeight="1" s="13"/>
    <row r="931" ht="15.75" customHeight="1" s="13"/>
    <row r="932" ht="15.75" customHeight="1" s="13"/>
    <row r="933" ht="15.75" customHeight="1" s="13"/>
    <row r="934" ht="15.75" customHeight="1" s="13"/>
    <row r="935" ht="15.75" customHeight="1" s="13"/>
    <row r="936" ht="15.75" customHeight="1" s="13"/>
    <row r="937" ht="15.75" customHeight="1" s="13"/>
    <row r="938" ht="15.75" customHeight="1" s="13"/>
    <row r="939" ht="15.75" customHeight="1" s="13"/>
    <row r="940" ht="15.75" customHeight="1" s="13"/>
    <row r="941" ht="15.75" customHeight="1" s="13"/>
    <row r="942" ht="15.75" customHeight="1" s="13"/>
    <row r="943" ht="15.75" customHeight="1" s="13"/>
    <row r="944" ht="15.75" customHeight="1" s="13"/>
    <row r="945" ht="15.75" customHeight="1" s="13"/>
    <row r="946" ht="15.75" customHeight="1" s="13"/>
    <row r="947" ht="15.75" customHeight="1" s="13"/>
    <row r="948" ht="15.75" customHeight="1" s="13"/>
    <row r="949" ht="15.75" customHeight="1" s="13"/>
    <row r="950" ht="15.75" customHeight="1" s="13"/>
    <row r="951" ht="15.75" customHeight="1" s="13"/>
    <row r="952" ht="15.75" customHeight="1" s="13"/>
    <row r="953" ht="15.75" customHeight="1" s="13"/>
    <row r="954" ht="15.75" customHeight="1" s="13"/>
    <row r="955" ht="15.75" customHeight="1" s="13"/>
    <row r="956" ht="15.75" customHeight="1" s="13"/>
    <row r="957" ht="15.75" customHeight="1" s="13"/>
    <row r="958" ht="15.75" customHeight="1" s="13"/>
    <row r="959" ht="15.75" customHeight="1" s="13"/>
    <row r="960" ht="15.75" customHeight="1" s="13"/>
    <row r="961" ht="15.75" customHeight="1" s="13"/>
    <row r="962" ht="15.75" customHeight="1" s="13"/>
    <row r="963" ht="15.75" customHeight="1" s="13"/>
    <row r="964" ht="15.75" customHeight="1" s="13"/>
    <row r="965" ht="15.75" customHeight="1" s="13"/>
    <row r="966" ht="15.75" customHeight="1" s="13"/>
    <row r="967" ht="15.75" customHeight="1" s="13"/>
    <row r="968" ht="15.75" customHeight="1" s="13"/>
    <row r="969" ht="15.75" customHeight="1" s="13"/>
    <row r="970" ht="15.75" customHeight="1" s="13"/>
    <row r="971" ht="15.75" customHeight="1" s="13"/>
    <row r="972" ht="15.75" customHeight="1" s="13"/>
    <row r="973" ht="15.75" customHeight="1" s="13"/>
    <row r="974" ht="15.75" customHeight="1" s="13"/>
    <row r="975" ht="15.75" customHeight="1" s="13"/>
    <row r="976" ht="15.75" customHeight="1" s="13"/>
    <row r="977" ht="15.75" customHeight="1" s="13"/>
    <row r="978" ht="15.75" customHeight="1" s="13"/>
    <row r="979" ht="15.75" customHeight="1" s="13"/>
    <row r="980" ht="15.75" customHeight="1" s="13"/>
    <row r="981" ht="15.75" customHeight="1" s="13"/>
    <row r="982" ht="15.75" customHeight="1" s="13"/>
    <row r="983" ht="15.75" customHeight="1" s="13"/>
    <row r="984" ht="15.75" customHeight="1" s="13"/>
    <row r="985" ht="15.75" customHeight="1" s="13"/>
    <row r="986" ht="15.75" customHeight="1" s="13"/>
    <row r="987" ht="15.75" customHeight="1" s="13"/>
    <row r="988" ht="15.75" customHeight="1" s="13"/>
    <row r="989" ht="15.75" customHeight="1" s="13"/>
    <row r="990" ht="15.75" customHeight="1" s="13"/>
    <row r="991" ht="15.75" customHeight="1" s="13"/>
    <row r="992" ht="15.75" customHeight="1" s="13"/>
    <row r="993" ht="15.75" customHeight="1" s="13"/>
    <row r="994" ht="15.75" customHeight="1" s="13"/>
    <row r="995" ht="15.75" customHeight="1" s="13"/>
    <row r="996" ht="15.75" customHeight="1" s="13"/>
    <row r="997" ht="15.75" customHeight="1" s="13"/>
    <row r="998" ht="15.75" customHeight="1" s="13"/>
    <row r="999" ht="15.75" customHeight="1" s="13"/>
    <row r="1000" ht="15.75" customHeight="1" s="13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2026-07-27T00:45:18Z</dcterms:created>
  <dcterms:modified xsi:type="dcterms:W3CDTF">2026-07-27T16:02:10Z</dcterms:modified>
</cp:coreProperties>
</file>