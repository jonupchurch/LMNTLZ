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ro Stats" sheetId="1" state="visible" r:id="rId1"/>
    <sheet name="Rules" sheetId="2" state="visible" r:id="rId2"/>
  </sheets>
  <definedNames>
    <definedName name="_xlnm._FilterDatabase" localSheetId="0" hidden="1">'Hero Stats'!$A$1:$V$28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4EFE4"/>
    </font>
    <font>
      <i val="1"/>
    </font>
    <font>
      <b val="1"/>
    </font>
    <font>
      <i val="1"/>
      <sz val="9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FF241F38"/>
      </patternFill>
    </fill>
    <fill>
      <patternFill patternType="solid">
        <fgColor rgb="FFF2F0F7"/>
      </patternFill>
    </fill>
    <fill>
      <patternFill patternType="solid">
        <fgColor rgb="FFFFFD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26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  <col width="16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9" customWidth="1" min="20" max="20"/>
    <col width="15" customWidth="1" min="21" max="21"/>
    <col width="11" customWidth="1" min="22" max="22"/>
    <col width="30" customWidth="1" min="24" max="24"/>
    <col width="11" customWidth="1" min="25" max="25"/>
    <col width="12" customWidth="1" min="26" max="26"/>
  </cols>
  <sheetData>
    <row r="1" ht="30" customHeight="1">
      <c r="A1" s="1" t="inlineStr">
        <is>
          <t>#</t>
        </is>
      </c>
      <c r="B1" s="1" t="inlineStr">
        <is>
          <t>Hero</t>
        </is>
      </c>
      <c r="C1" s="1" t="inlineStr">
        <is>
          <t>Slug</t>
        </is>
      </c>
      <c r="D1" s="1" t="inlineStr">
        <is>
          <t>Family</t>
        </is>
      </c>
      <c r="E1" s="1" t="inlineStr">
        <is>
          <t>Primary</t>
        </is>
      </c>
      <c r="F1" s="1" t="inlineStr">
        <is>
          <t>Secondary</t>
        </is>
      </c>
      <c r="G1" s="1" t="inlineStr">
        <is>
          <t>Bane (derived)</t>
        </is>
      </c>
      <c r="H1" s="1" t="inlineStr">
        <is>
          <t>Fault (derived)</t>
        </is>
      </c>
      <c r="I1" s="1" t="inlineStr">
        <is>
          <t>Reach (proposed)</t>
        </is>
      </c>
      <c r="J1" s="1" t="inlineStr">
        <is>
          <t>Might</t>
        </is>
      </c>
      <c r="K1" s="1" t="inlineStr">
        <is>
          <t>Perception</t>
        </is>
      </c>
      <c r="L1" s="1" t="inlineStr">
        <is>
          <t>Agility</t>
        </is>
      </c>
      <c r="M1" s="1" t="inlineStr">
        <is>
          <t>Toughness</t>
        </is>
      </c>
      <c r="N1" s="1" t="inlineStr">
        <is>
          <t>Armor</t>
        </is>
      </c>
      <c r="O1" s="1" t="inlineStr">
        <is>
          <t>Penetration</t>
        </is>
      </c>
      <c r="P1" s="1" t="inlineStr">
        <is>
          <t>MagicResist</t>
        </is>
      </c>
      <c r="Q1" s="1" t="inlineStr">
        <is>
          <t>Speed</t>
        </is>
      </c>
      <c r="R1" s="1" t="inlineStr">
        <is>
          <t>Resolve</t>
        </is>
      </c>
      <c r="S1" s="1" t="inlineStr">
        <is>
          <t>Luck</t>
        </is>
      </c>
      <c r="T1" s="1" t="inlineStr">
        <is>
          <t>TOTAL</t>
        </is>
      </c>
      <c r="U1" s="1" t="inlineStr">
        <is>
          <t>CHECK</t>
        </is>
      </c>
      <c r="V1" s="1" t="inlineStr">
        <is>
          <t>TARGET</t>
        </is>
      </c>
      <c r="X1" s="2" t="inlineStr">
        <is>
          <t>TARGET TOTAL BY REACH</t>
        </is>
      </c>
    </row>
    <row r="2">
      <c r="A2" t="n">
        <v>1</v>
      </c>
      <c r="B2" t="inlineStr">
        <is>
          <t>Bramwen</t>
        </is>
      </c>
      <c r="C2" t="inlineStr">
        <is>
          <t>01-earth-bramwen</t>
        </is>
      </c>
      <c r="D2" t="inlineStr">
        <is>
          <t>Arcane</t>
        </is>
      </c>
      <c r="E2" t="inlineStr">
        <is>
          <t>Earth</t>
        </is>
      </c>
      <c r="F2" t="inlineStr">
        <is>
          <t>Fire</t>
        </is>
      </c>
      <c r="G2" s="3" t="inlineStr">
        <is>
          <t>Air</t>
        </is>
      </c>
      <c r="H2" s="3" t="inlineStr">
        <is>
          <t>Water</t>
        </is>
      </c>
      <c r="I2" t="n">
        <v>1</v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5">
        <f>SUM(J2:S2)</f>
        <v/>
      </c>
      <c r="U2">
        <f>IF(COUNT(J2:S2)=0,"",IF(COUNT(J2:S2)&lt;10,"INCOMPLETE",IF(N(V2)=0,"",IF(T2=V2,"OK","OFF BY "&amp;TEXT(T2-V2,"+0;-0")))))</f>
        <v/>
      </c>
      <c r="V2">
        <f>IF(N($Y$2)+N($Y$3)=0,"",IF($I2=1,$Y$2,$Y$3))</f>
        <v/>
      </c>
      <c r="X2" s="5" t="inlineStr">
        <is>
          <t>Reach 1</t>
        </is>
      </c>
      <c r="Y2" s="4" t="n"/>
    </row>
    <row r="3">
      <c r="A3" t="n">
        <v>2</v>
      </c>
      <c r="B3" t="inlineStr">
        <is>
          <t>Ossic</t>
        </is>
      </c>
      <c r="C3" t="inlineStr">
        <is>
          <t>02-earth-ossic</t>
        </is>
      </c>
      <c r="D3" t="inlineStr">
        <is>
          <t>Arcane</t>
        </is>
      </c>
      <c r="E3" t="inlineStr">
        <is>
          <t>Earth</t>
        </is>
      </c>
      <c r="F3" t="inlineStr">
        <is>
          <t>Dark</t>
        </is>
      </c>
      <c r="G3" s="3" t="inlineStr">
        <is>
          <t>Air</t>
        </is>
      </c>
      <c r="H3" s="3" t="inlineStr">
        <is>
          <t>Light</t>
        </is>
      </c>
      <c r="I3" t="n">
        <v>2</v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5">
        <f>SUM(J3:S3)</f>
        <v/>
      </c>
      <c r="U3">
        <f>IF(COUNT(J3:S3)=0,"",IF(COUNT(J3:S3)&lt;10,"INCOMPLETE",IF(N(V3)=0,"",IF(T3=V3,"OK","OFF BY "&amp;TEXT(T3-V3,"+0;-0")))))</f>
        <v/>
      </c>
      <c r="V3">
        <f>IF(N($Y$2)+N($Y$3)=0,"",IF($I3=1,$Y$2,$Y$3))</f>
        <v/>
      </c>
      <c r="X3" s="5" t="inlineStr">
        <is>
          <t>Reach 2</t>
        </is>
      </c>
      <c r="Y3" s="4" t="n"/>
    </row>
    <row r="4">
      <c r="A4" t="n">
        <v>3</v>
      </c>
      <c r="B4" t="inlineStr">
        <is>
          <t>Terragosa</t>
        </is>
      </c>
      <c r="C4" t="inlineStr">
        <is>
          <t>03-earth-terragosa</t>
        </is>
      </c>
      <c r="D4" t="inlineStr">
        <is>
          <t>Arcane</t>
        </is>
      </c>
      <c r="E4" t="inlineStr">
        <is>
          <t>Earth</t>
        </is>
      </c>
      <c r="F4" t="inlineStr">
        <is>
          <t>Light</t>
        </is>
      </c>
      <c r="G4" s="3" t="inlineStr">
        <is>
          <t>Air</t>
        </is>
      </c>
      <c r="H4" s="3" t="inlineStr">
        <is>
          <t>Dark</t>
        </is>
      </c>
      <c r="I4" t="n">
        <v>2</v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5">
        <f>SUM(J4:S4)</f>
        <v/>
      </c>
      <c r="U4">
        <f>IF(COUNT(J4:S4)=0,"",IF(COUNT(J4:S4)&lt;10,"INCOMPLETE",IF(N(V4)=0,"",IF(T4=V4,"OK","OFF BY "&amp;TEXT(T4-V4,"+0;-0")))))</f>
        <v/>
      </c>
      <c r="V4">
        <f>IF(N($Y$2)+N($Y$3)=0,"",IF($I4=1,$Y$2,$Y$3))</f>
        <v/>
      </c>
      <c r="X4" s="6" t="inlineStr">
        <is>
          <t>Blank = no target. Need not match; a shorter reach may earn more.</t>
        </is>
      </c>
    </row>
    <row r="5">
      <c r="A5" t="n">
        <v>4</v>
      </c>
      <c r="B5" t="inlineStr">
        <is>
          <t>Zephyrine</t>
        </is>
      </c>
      <c r="C5" t="inlineStr">
        <is>
          <t>04-air-zephyrine</t>
        </is>
      </c>
      <c r="D5" t="inlineStr">
        <is>
          <t>Arcane</t>
        </is>
      </c>
      <c r="E5" t="inlineStr">
        <is>
          <t>Air</t>
        </is>
      </c>
      <c r="F5" t="inlineStr">
        <is>
          <t>Light</t>
        </is>
      </c>
      <c r="G5" s="3" t="inlineStr">
        <is>
          <t>Earth</t>
        </is>
      </c>
      <c r="H5" s="3" t="inlineStr">
        <is>
          <t>Dark</t>
        </is>
      </c>
      <c r="I5" t="n">
        <v>2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5">
        <f>SUM(J5:S5)</f>
        <v/>
      </c>
      <c r="U5">
        <f>IF(COUNT(J5:S5)=0,"",IF(COUNT(J5:S5)&lt;10,"INCOMPLETE",IF(N(V5)=0,"",IF(T5=V5,"OK","OFF BY "&amp;TEXT(T5-V5,"+0;-0")))))</f>
        <v/>
      </c>
      <c r="V5">
        <f>IF(N($Y$2)+N($Y$3)=0,"",IF($I5=1,$Y$2,$Y$3))</f>
        <v/>
      </c>
    </row>
    <row r="6">
      <c r="A6" t="n">
        <v>5</v>
      </c>
      <c r="B6" t="inlineStr">
        <is>
          <t>Cirrolan</t>
        </is>
      </c>
      <c r="C6" t="inlineStr">
        <is>
          <t>05-air-cirrolan</t>
        </is>
      </c>
      <c r="D6" t="inlineStr">
        <is>
          <t>Arcane</t>
        </is>
      </c>
      <c r="E6" t="inlineStr">
        <is>
          <t>Air</t>
        </is>
      </c>
      <c r="F6" t="inlineStr">
        <is>
          <t>Water</t>
        </is>
      </c>
      <c r="G6" s="3" t="inlineStr">
        <is>
          <t>Earth</t>
        </is>
      </c>
      <c r="H6" s="3" t="inlineStr">
        <is>
          <t>Fire</t>
        </is>
      </c>
      <c r="I6" t="n">
        <v>2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5">
        <f>SUM(J6:S6)</f>
        <v/>
      </c>
      <c r="U6">
        <f>IF(COUNT(J6:S6)=0,"",IF(COUNT(J6:S6)&lt;10,"INCOMPLETE",IF(N(V6)=0,"",IF(T6=V6,"OK","OFF BY "&amp;TEXT(T6-V6,"+0;-0")))))</f>
        <v/>
      </c>
      <c r="V6">
        <f>IF(N($Y$2)+N($Y$3)=0,"",IF($I6=1,$Y$2,$Y$3))</f>
        <v/>
      </c>
      <c r="X6" s="2" t="inlineStr">
        <is>
          <t>SPREAD</t>
        </is>
      </c>
    </row>
    <row r="7">
      <c r="A7" t="n">
        <v>6</v>
      </c>
      <c r="B7" t="inlineStr">
        <is>
          <t>Vael</t>
        </is>
      </c>
      <c r="C7" t="inlineStr">
        <is>
          <t>06-air-vael</t>
        </is>
      </c>
      <c r="D7" t="inlineStr">
        <is>
          <t>Arcane</t>
        </is>
      </c>
      <c r="E7" t="inlineStr">
        <is>
          <t>Air</t>
        </is>
      </c>
      <c r="F7" t="inlineStr">
        <is>
          <t>Dark</t>
        </is>
      </c>
      <c r="G7" s="3" t="inlineStr">
        <is>
          <t>Earth</t>
        </is>
      </c>
      <c r="H7" s="3" t="inlineStr">
        <is>
          <t>Light</t>
        </is>
      </c>
      <c r="I7" t="n">
        <v>1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5">
        <f>SUM(J7:S7)</f>
        <v/>
      </c>
      <c r="U7">
        <f>IF(COUNT(J7:S7)=0,"",IF(COUNT(J7:S7)&lt;10,"INCOMPLETE",IF(N(V7)=0,"",IF(T7=V7,"OK","OFF BY "&amp;TEXT(T7-V7,"+0;-0")))))</f>
        <v/>
      </c>
      <c r="V7">
        <f>IF(N($Y$2)+N($Y$3)=0,"",IF($I7=1,$Y$2,$Y$3))</f>
        <v/>
      </c>
      <c r="X7" s="5" t="inlineStr">
        <is>
          <t>Group</t>
        </is>
      </c>
      <c r="Y7" s="5" t="inlineStr">
        <is>
          <t>Heroes</t>
        </is>
      </c>
      <c r="Z7" s="5" t="inlineStr">
        <is>
          <t>Avg TOTAL</t>
        </is>
      </c>
    </row>
    <row r="8">
      <c r="A8" t="n">
        <v>7</v>
      </c>
      <c r="B8" t="inlineStr">
        <is>
          <t>Ember Saelith</t>
        </is>
      </c>
      <c r="C8" t="inlineStr">
        <is>
          <t>07-fire-ember-saelith</t>
        </is>
      </c>
      <c r="D8" t="inlineStr">
        <is>
          <t>Arcane</t>
        </is>
      </c>
      <c r="E8" t="inlineStr">
        <is>
          <t>Fire</t>
        </is>
      </c>
      <c r="F8" t="inlineStr">
        <is>
          <t>Air</t>
        </is>
      </c>
      <c r="G8" s="3" t="inlineStr">
        <is>
          <t>Water</t>
        </is>
      </c>
      <c r="H8" s="3" t="inlineStr">
        <is>
          <t>Earth</t>
        </is>
      </c>
      <c r="I8" t="n">
        <v>1</v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5">
        <f>SUM(J8:S8)</f>
        <v/>
      </c>
      <c r="U8">
        <f>IF(COUNT(J8:S8)=0,"",IF(COUNT(J8:S8)&lt;10,"INCOMPLETE",IF(N(V8)=0,"",IF(T8=V8,"OK","OFF BY "&amp;TEXT(T8-V8,"+0;-0")))))</f>
        <v/>
      </c>
      <c r="V8">
        <f>IF(N($Y$2)+N($Y$3)=0,"",IF($I8=1,$Y$2,$Y$3))</f>
        <v/>
      </c>
      <c r="X8" t="inlineStr">
        <is>
          <t>Reach 1</t>
        </is>
      </c>
      <c r="Y8">
        <f>COUNTIF(I2:I28,1)</f>
        <v/>
      </c>
      <c r="Z8">
        <f>IFERROR(ROUND(AVERAGEIF(I2:I28,1,T2:T28),1),"")</f>
        <v/>
      </c>
    </row>
    <row r="9">
      <c r="A9" t="n">
        <v>8</v>
      </c>
      <c r="B9" t="inlineStr">
        <is>
          <t>Pyrrhic</t>
        </is>
      </c>
      <c r="C9" t="inlineStr">
        <is>
          <t>08-fire-pyrrhic</t>
        </is>
      </c>
      <c r="D9" t="inlineStr">
        <is>
          <t>Arcane</t>
        </is>
      </c>
      <c r="E9" t="inlineStr">
        <is>
          <t>Fire</t>
        </is>
      </c>
      <c r="F9" t="inlineStr">
        <is>
          <t>Light</t>
        </is>
      </c>
      <c r="G9" s="3" t="inlineStr">
        <is>
          <t>Water</t>
        </is>
      </c>
      <c r="H9" s="3" t="inlineStr">
        <is>
          <t>Dark</t>
        </is>
      </c>
      <c r="I9" t="n">
        <v>1</v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5">
        <f>SUM(J9:S9)</f>
        <v/>
      </c>
      <c r="U9">
        <f>IF(COUNT(J9:S9)=0,"",IF(COUNT(J9:S9)&lt;10,"INCOMPLETE",IF(N(V9)=0,"",IF(T9=V9,"OK","OFF BY "&amp;TEXT(T9-V9,"+0;-0")))))</f>
        <v/>
      </c>
      <c r="V9">
        <f>IF(N($Y$2)+N($Y$3)=0,"",IF($I9=1,$Y$2,$Y$3))</f>
        <v/>
      </c>
      <c r="X9" t="inlineStr">
        <is>
          <t>Reach 2</t>
        </is>
      </c>
      <c r="Y9">
        <f>COUNTIF(I2:I28,2)</f>
        <v/>
      </c>
      <c r="Z9">
        <f>IFERROR(ROUND(AVERAGEIF(I2:I28,2,T2:T28),1),"")</f>
        <v/>
      </c>
    </row>
    <row r="10">
      <c r="A10" t="n">
        <v>9</v>
      </c>
      <c r="B10" t="inlineStr">
        <is>
          <t>Cindara</t>
        </is>
      </c>
      <c r="C10" t="inlineStr">
        <is>
          <t>09-fire-cindara</t>
        </is>
      </c>
      <c r="D10" t="inlineStr">
        <is>
          <t>Arcane</t>
        </is>
      </c>
      <c r="E10" t="inlineStr">
        <is>
          <t>Fire</t>
        </is>
      </c>
      <c r="F10" t="inlineStr">
        <is>
          <t>Earth</t>
        </is>
      </c>
      <c r="G10" s="3" t="inlineStr">
        <is>
          <t>Water</t>
        </is>
      </c>
      <c r="H10" s="3" t="inlineStr">
        <is>
          <t>Air</t>
        </is>
      </c>
      <c r="I10" t="n">
        <v>2</v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5">
        <f>SUM(J10:S10)</f>
        <v/>
      </c>
      <c r="U10">
        <f>IF(COUNT(J10:S10)=0,"",IF(COUNT(J10:S10)&lt;10,"INCOMPLETE",IF(N(V10)=0,"",IF(T10=V10,"OK","OFF BY "&amp;TEXT(T10-V10,"+0;-0")))))</f>
        <v/>
      </c>
      <c r="V10">
        <f>IF(N($Y$2)+N($Y$3)=0,"",IF($I10=1,$Y$2,$Y$3))</f>
        <v/>
      </c>
      <c r="X10" t="inlineStr">
        <is>
          <t>All</t>
        </is>
      </c>
      <c r="Y10">
        <f>COUNT(I2:I28)</f>
        <v/>
      </c>
      <c r="Z10">
        <f>IFERROR(ROUND(AVERAGE(T2:T28),1),"")</f>
        <v/>
      </c>
    </row>
    <row r="11">
      <c r="A11" t="n">
        <v>10</v>
      </c>
      <c r="B11" t="inlineStr">
        <is>
          <t>Marisel</t>
        </is>
      </c>
      <c r="C11" t="inlineStr">
        <is>
          <t>10-water-marisel</t>
        </is>
      </c>
      <c r="D11" t="inlineStr">
        <is>
          <t>Arcane</t>
        </is>
      </c>
      <c r="E11" t="inlineStr">
        <is>
          <t>Water</t>
        </is>
      </c>
      <c r="F11" t="inlineStr">
        <is>
          <t>Dark</t>
        </is>
      </c>
      <c r="G11" s="3" t="inlineStr">
        <is>
          <t>Fire</t>
        </is>
      </c>
      <c r="H11" s="3" t="inlineStr">
        <is>
          <t>Light</t>
        </is>
      </c>
      <c r="I11" t="n">
        <v>2</v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5">
        <f>SUM(J11:S11)</f>
        <v/>
      </c>
      <c r="U11">
        <f>IF(COUNT(J11:S11)=0,"",IF(COUNT(J11:S11)&lt;10,"INCOMPLETE",IF(N(V11)=0,"",IF(T11=V11,"OK","OFF BY "&amp;TEXT(T11-V11,"+0;-0")))))</f>
        <v/>
      </c>
      <c r="V11">
        <f>IF(N($Y$2)+N($Y$3)=0,"",IF($I11=1,$Y$2,$Y$3))</f>
        <v/>
      </c>
    </row>
    <row r="12">
      <c r="A12" t="n">
        <v>11</v>
      </c>
      <c r="B12" t="inlineStr">
        <is>
          <t>Tidewarden Coll</t>
        </is>
      </c>
      <c r="C12" t="inlineStr">
        <is>
          <t>11-water-tidewarden-coll</t>
        </is>
      </c>
      <c r="D12" t="inlineStr">
        <is>
          <t>Arcane</t>
        </is>
      </c>
      <c r="E12" t="inlineStr">
        <is>
          <t>Water</t>
        </is>
      </c>
      <c r="F12" t="inlineStr">
        <is>
          <t>Earth</t>
        </is>
      </c>
      <c r="G12" s="3" t="inlineStr">
        <is>
          <t>Fire</t>
        </is>
      </c>
      <c r="H12" s="3" t="inlineStr">
        <is>
          <t>Air</t>
        </is>
      </c>
      <c r="I12" t="n">
        <v>1</v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5">
        <f>SUM(J12:S12)</f>
        <v/>
      </c>
      <c r="U12">
        <f>IF(COUNT(J12:S12)=0,"",IF(COUNT(J12:S12)&lt;10,"INCOMPLETE",IF(N(V12)=0,"",IF(T12=V12,"OK","OFF BY "&amp;TEXT(T12-V12,"+0;-0")))))</f>
        <v/>
      </c>
      <c r="V12">
        <f>IF(N($Y$2)+N($Y$3)=0,"",IF($I12=1,$Y$2,$Y$3))</f>
        <v/>
      </c>
    </row>
    <row r="13">
      <c r="A13" t="n">
        <v>12</v>
      </c>
      <c r="B13" t="inlineStr">
        <is>
          <t>Nix</t>
        </is>
      </c>
      <c r="C13" t="inlineStr">
        <is>
          <t>12-water-nix</t>
        </is>
      </c>
      <c r="D13" t="inlineStr">
        <is>
          <t>Arcane</t>
        </is>
      </c>
      <c r="E13" t="inlineStr">
        <is>
          <t>Water</t>
        </is>
      </c>
      <c r="F13" t="inlineStr">
        <is>
          <t>Air</t>
        </is>
      </c>
      <c r="G13" s="3" t="inlineStr">
        <is>
          <t>Fire</t>
        </is>
      </c>
      <c r="H13" s="3" t="inlineStr">
        <is>
          <t>Earth</t>
        </is>
      </c>
      <c r="I13" t="n">
        <v>2</v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5">
        <f>SUM(J13:S13)</f>
        <v/>
      </c>
      <c r="U13">
        <f>IF(COUNT(J13:S13)=0,"",IF(COUNT(J13:S13)&lt;10,"INCOMPLETE",IF(N(V13)=0,"",IF(T13=V13,"OK","OFF BY "&amp;TEXT(T13-V13,"+0;-0")))))</f>
        <v/>
      </c>
      <c r="V13">
        <f>IF(N($Y$2)+N($Y$3)=0,"",IF($I13=1,$Y$2,$Y$3))</f>
        <v/>
      </c>
    </row>
    <row r="14">
      <c r="A14" t="n">
        <v>13</v>
      </c>
      <c r="B14" t="inlineStr">
        <is>
          <t>Seraphel</t>
        </is>
      </c>
      <c r="C14" t="inlineStr">
        <is>
          <t>13-light-seraphel</t>
        </is>
      </c>
      <c r="D14" t="inlineStr">
        <is>
          <t>Arcane</t>
        </is>
      </c>
      <c r="E14" t="inlineStr">
        <is>
          <t>Light</t>
        </is>
      </c>
      <c r="F14" t="inlineStr">
        <is>
          <t>Fire</t>
        </is>
      </c>
      <c r="G14" s="3" t="inlineStr">
        <is>
          <t>Dark</t>
        </is>
      </c>
      <c r="H14" s="3" t="inlineStr">
        <is>
          <t>Water</t>
        </is>
      </c>
      <c r="I14" t="n">
        <v>1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5">
        <f>SUM(J14:S14)</f>
        <v/>
      </c>
      <c r="U14">
        <f>IF(COUNT(J14:S14)=0,"",IF(COUNT(J14:S14)&lt;10,"INCOMPLETE",IF(N(V14)=0,"",IF(T14=V14,"OK","OFF BY "&amp;TEXT(T14-V14,"+0;-0")))))</f>
        <v/>
      </c>
      <c r="V14">
        <f>IF(N($Y$2)+N($Y$3)=0,"",IF($I14=1,$Y$2,$Y$3))</f>
        <v/>
      </c>
    </row>
    <row r="15">
      <c r="A15" t="n">
        <v>14</v>
      </c>
      <c r="B15" t="inlineStr">
        <is>
          <t>Lucen</t>
        </is>
      </c>
      <c r="C15" t="inlineStr">
        <is>
          <t>14-light-lucen</t>
        </is>
      </c>
      <c r="D15" t="inlineStr">
        <is>
          <t>Arcane</t>
        </is>
      </c>
      <c r="E15" t="inlineStr">
        <is>
          <t>Light</t>
        </is>
      </c>
      <c r="F15" t="inlineStr">
        <is>
          <t>Air</t>
        </is>
      </c>
      <c r="G15" s="3" t="inlineStr">
        <is>
          <t>Dark</t>
        </is>
      </c>
      <c r="H15" s="3" t="inlineStr">
        <is>
          <t>Earth</t>
        </is>
      </c>
      <c r="I15" t="n">
        <v>2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5">
        <f>SUM(J15:S15)</f>
        <v/>
      </c>
      <c r="U15">
        <f>IF(COUNT(J15:S15)=0,"",IF(COUNT(J15:S15)&lt;10,"INCOMPLETE",IF(N(V15)=0,"",IF(T15=V15,"OK","OFF BY "&amp;TEXT(T15-V15,"+0;-0")))))</f>
        <v/>
      </c>
      <c r="V15">
        <f>IF(N($Y$2)+N($Y$3)=0,"",IF($I15=1,$Y$2,$Y$3))</f>
        <v/>
      </c>
    </row>
    <row r="16">
      <c r="A16" t="n">
        <v>15</v>
      </c>
      <c r="B16" t="inlineStr">
        <is>
          <t>Auriel Dawnkeep</t>
        </is>
      </c>
      <c r="C16" t="inlineStr">
        <is>
          <t>15-light-auriel-dawnkeep</t>
        </is>
      </c>
      <c r="D16" t="inlineStr">
        <is>
          <t>Arcane</t>
        </is>
      </c>
      <c r="E16" t="inlineStr">
        <is>
          <t>Light</t>
        </is>
      </c>
      <c r="F16" t="inlineStr">
        <is>
          <t>Water</t>
        </is>
      </c>
      <c r="G16" s="3" t="inlineStr">
        <is>
          <t>Dark</t>
        </is>
      </c>
      <c r="H16" s="3" t="inlineStr">
        <is>
          <t>Fire</t>
        </is>
      </c>
      <c r="I16" t="n">
        <v>2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5">
        <f>SUM(J16:S16)</f>
        <v/>
      </c>
      <c r="U16">
        <f>IF(COUNT(J16:S16)=0,"",IF(COUNT(J16:S16)&lt;10,"INCOMPLETE",IF(N(V16)=0,"",IF(T16=V16,"OK","OFF BY "&amp;TEXT(T16-V16,"+0;-0")))))</f>
        <v/>
      </c>
      <c r="V16">
        <f>IF(N($Y$2)+N($Y$3)=0,"",IF($I16=1,$Y$2,$Y$3))</f>
        <v/>
      </c>
    </row>
    <row r="17">
      <c r="A17" t="n">
        <v>16</v>
      </c>
      <c r="B17" t="inlineStr">
        <is>
          <t>Nyxara</t>
        </is>
      </c>
      <c r="C17" t="inlineStr">
        <is>
          <t>16-dark-nyxara</t>
        </is>
      </c>
      <c r="D17" t="inlineStr">
        <is>
          <t>Arcane</t>
        </is>
      </c>
      <c r="E17" t="inlineStr">
        <is>
          <t>Dark</t>
        </is>
      </c>
      <c r="F17" t="inlineStr">
        <is>
          <t>Water</t>
        </is>
      </c>
      <c r="G17" s="3" t="inlineStr">
        <is>
          <t>Light</t>
        </is>
      </c>
      <c r="H17" s="3" t="inlineStr">
        <is>
          <t>Fire</t>
        </is>
      </c>
      <c r="I17" t="n">
        <v>2</v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5">
        <f>SUM(J17:S17)</f>
        <v/>
      </c>
      <c r="U17">
        <f>IF(COUNT(J17:S17)=0,"",IF(COUNT(J17:S17)&lt;10,"INCOMPLETE",IF(N(V17)=0,"",IF(T17=V17,"OK","OFF BY "&amp;TEXT(T17-V17,"+0;-0")))))</f>
        <v/>
      </c>
      <c r="V17">
        <f>IF(N($Y$2)+N($Y$3)=0,"",IF($I17=1,$Y$2,$Y$3))</f>
        <v/>
      </c>
    </row>
    <row r="18">
      <c r="A18" t="n">
        <v>17</v>
      </c>
      <c r="B18" t="inlineStr">
        <is>
          <t>Umbriel</t>
        </is>
      </c>
      <c r="C18" t="inlineStr">
        <is>
          <t>17-dark-umbriel</t>
        </is>
      </c>
      <c r="D18" t="inlineStr">
        <is>
          <t>Arcane</t>
        </is>
      </c>
      <c r="E18" t="inlineStr">
        <is>
          <t>Dark</t>
        </is>
      </c>
      <c r="F18" t="inlineStr">
        <is>
          <t>Fire</t>
        </is>
      </c>
      <c r="G18" s="3" t="inlineStr">
        <is>
          <t>Light</t>
        </is>
      </c>
      <c r="H18" s="3" t="inlineStr">
        <is>
          <t>Water</t>
        </is>
      </c>
      <c r="I18" t="n">
        <v>1</v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5">
        <f>SUM(J18:S18)</f>
        <v/>
      </c>
      <c r="U18">
        <f>IF(COUNT(J18:S18)=0,"",IF(COUNT(J18:S18)&lt;10,"INCOMPLETE",IF(N(V18)=0,"",IF(T18=V18,"OK","OFF BY "&amp;TEXT(T18-V18,"+0;-0")))))</f>
        <v/>
      </c>
      <c r="V18">
        <f>IF(N($Y$2)+N($Y$3)=0,"",IF($I18=1,$Y$2,$Y$3))</f>
        <v/>
      </c>
    </row>
    <row r="19">
      <c r="A19" t="n">
        <v>18</v>
      </c>
      <c r="B19" t="inlineStr">
        <is>
          <t>Corvane</t>
        </is>
      </c>
      <c r="C19" t="inlineStr">
        <is>
          <t>18-dark-corvane</t>
        </is>
      </c>
      <c r="D19" t="inlineStr">
        <is>
          <t>Arcane</t>
        </is>
      </c>
      <c r="E19" t="inlineStr">
        <is>
          <t>Dark</t>
        </is>
      </c>
      <c r="F19" t="inlineStr">
        <is>
          <t>Earth</t>
        </is>
      </c>
      <c r="G19" s="3" t="inlineStr">
        <is>
          <t>Light</t>
        </is>
      </c>
      <c r="H19" s="3" t="inlineStr">
        <is>
          <t>Air</t>
        </is>
      </c>
      <c r="I19" t="n">
        <v>2</v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5">
        <f>SUM(J19:S19)</f>
        <v/>
      </c>
      <c r="U19">
        <f>IF(COUNT(J19:S19)=0,"",IF(COUNT(J19:S19)&lt;10,"INCOMPLETE",IF(N(V19)=0,"",IF(T19=V19,"OK","OFF BY "&amp;TEXT(T19-V19,"+0;-0")))))</f>
        <v/>
      </c>
      <c r="V19">
        <f>IF(N($Y$2)+N($Y$3)=0,"",IF($I19=1,$Y$2,$Y$3))</f>
        <v/>
      </c>
    </row>
    <row r="20">
      <c r="A20" t="n">
        <v>19</v>
      </c>
      <c r="B20" t="inlineStr">
        <is>
          <t>Kaellis</t>
        </is>
      </c>
      <c r="C20" t="inlineStr">
        <is>
          <t>19-slash-kaellis</t>
        </is>
      </c>
      <c r="D20" t="inlineStr">
        <is>
          <t>Martial</t>
        </is>
      </c>
      <c r="E20" t="inlineStr">
        <is>
          <t>Slash</t>
        </is>
      </c>
      <c r="F20" t="inlineStr">
        <is>
          <t>Light</t>
        </is>
      </c>
      <c r="G20" s="3" t="inlineStr">
        <is>
          <t>Crush</t>
        </is>
      </c>
      <c r="H20" s="3" t="inlineStr">
        <is>
          <t>Dark</t>
        </is>
      </c>
      <c r="I20" t="n">
        <v>1</v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5">
        <f>SUM(J20:S20)</f>
        <v/>
      </c>
      <c r="U20">
        <f>IF(COUNT(J20:S20)=0,"",IF(COUNT(J20:S20)&lt;10,"INCOMPLETE",IF(N(V20)=0,"",IF(T20=V20,"OK","OFF BY "&amp;TEXT(T20-V20,"+0;-0")))))</f>
        <v/>
      </c>
      <c r="V20">
        <f>IF(N($Y$2)+N($Y$3)=0,"",IF($I20=1,$Y$2,$Y$3))</f>
        <v/>
      </c>
    </row>
    <row r="21">
      <c r="A21" t="n">
        <v>20</v>
      </c>
      <c r="B21" t="inlineStr">
        <is>
          <t>Reyna Two-Rivers</t>
        </is>
      </c>
      <c r="C21" t="inlineStr">
        <is>
          <t>20-slash-reyna</t>
        </is>
      </c>
      <c r="D21" t="inlineStr">
        <is>
          <t>Martial</t>
        </is>
      </c>
      <c r="E21" t="inlineStr">
        <is>
          <t>Slash</t>
        </is>
      </c>
      <c r="F21" t="inlineStr">
        <is>
          <t>Water</t>
        </is>
      </c>
      <c r="G21" s="3" t="inlineStr">
        <is>
          <t>Crush</t>
        </is>
      </c>
      <c r="H21" s="3" t="inlineStr">
        <is>
          <t>Fire</t>
        </is>
      </c>
      <c r="I21" t="n">
        <v>1</v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5">
        <f>SUM(J21:S21)</f>
        <v/>
      </c>
      <c r="U21">
        <f>IF(COUNT(J21:S21)=0,"",IF(COUNT(J21:S21)&lt;10,"INCOMPLETE",IF(N(V21)=0,"",IF(T21=V21,"OK","OFF BY "&amp;TEXT(T21-V21,"+0;-0")))))</f>
        <v/>
      </c>
      <c r="V21">
        <f>IF(N($Y$2)+N($Y$3)=0,"",IF($I21=1,$Y$2,$Y$3))</f>
        <v/>
      </c>
    </row>
    <row r="22">
      <c r="A22" t="n">
        <v>21</v>
      </c>
      <c r="B22" t="inlineStr">
        <is>
          <t>Grieve</t>
        </is>
      </c>
      <c r="C22" t="inlineStr">
        <is>
          <t>21-slash-grieve</t>
        </is>
      </c>
      <c r="D22" t="inlineStr">
        <is>
          <t>Martial</t>
        </is>
      </c>
      <c r="E22" t="inlineStr">
        <is>
          <t>Slash</t>
        </is>
      </c>
      <c r="F22" t="inlineStr">
        <is>
          <t>Dark</t>
        </is>
      </c>
      <c r="G22" s="3" t="inlineStr">
        <is>
          <t>Crush</t>
        </is>
      </c>
      <c r="H22" s="3" t="inlineStr">
        <is>
          <t>Light</t>
        </is>
      </c>
      <c r="I22" t="n">
        <v>2</v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5">
        <f>SUM(J22:S22)</f>
        <v/>
      </c>
      <c r="U22">
        <f>IF(COUNT(J22:S22)=0,"",IF(COUNT(J22:S22)&lt;10,"INCOMPLETE",IF(N(V22)=0,"",IF(T22=V22,"OK","OFF BY "&amp;TEXT(T22-V22,"+0;-0")))))</f>
        <v/>
      </c>
      <c r="V22">
        <f>IF(N($Y$2)+N($Y$3)=0,"",IF($I22=1,$Y$2,$Y$3))</f>
        <v/>
      </c>
    </row>
    <row r="23">
      <c r="A23" t="n">
        <v>22</v>
      </c>
      <c r="B23" t="inlineStr">
        <is>
          <t>Vantric</t>
        </is>
      </c>
      <c r="C23" t="inlineStr">
        <is>
          <t>22-pierce-vantric</t>
        </is>
      </c>
      <c r="D23" t="inlineStr">
        <is>
          <t>Martial</t>
        </is>
      </c>
      <c r="E23" t="inlineStr">
        <is>
          <t>Pierce</t>
        </is>
      </c>
      <c r="F23" t="inlineStr">
        <is>
          <t>Air</t>
        </is>
      </c>
      <c r="G23" s="3" t="inlineStr">
        <is>
          <t>Slash</t>
        </is>
      </c>
      <c r="H23" s="3" t="inlineStr">
        <is>
          <t>Earth</t>
        </is>
      </c>
      <c r="I23" t="n">
        <v>2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5">
        <f>SUM(J23:S23)</f>
        <v/>
      </c>
      <c r="U23">
        <f>IF(COUNT(J23:S23)=0,"",IF(COUNT(J23:S23)&lt;10,"INCOMPLETE",IF(N(V23)=0,"",IF(T23=V23,"OK","OFF BY "&amp;TEXT(T23-V23,"+0;-0")))))</f>
        <v/>
      </c>
      <c r="V23">
        <f>IF(N($Y$2)+N($Y$3)=0,"",IF($I23=1,$Y$2,$Y$3))</f>
        <v/>
      </c>
    </row>
    <row r="24">
      <c r="A24" t="n">
        <v>23</v>
      </c>
      <c r="B24" t="inlineStr">
        <is>
          <t>Silka Pinquick</t>
        </is>
      </c>
      <c r="C24" t="inlineStr">
        <is>
          <t>23-pierce-silka</t>
        </is>
      </c>
      <c r="D24" t="inlineStr">
        <is>
          <t>Martial</t>
        </is>
      </c>
      <c r="E24" t="inlineStr">
        <is>
          <t>Pierce</t>
        </is>
      </c>
      <c r="F24" t="inlineStr">
        <is>
          <t>Dark</t>
        </is>
      </c>
      <c r="G24" s="3" t="inlineStr">
        <is>
          <t>Slash</t>
        </is>
      </c>
      <c r="H24" s="3" t="inlineStr">
        <is>
          <t>Light</t>
        </is>
      </c>
      <c r="I24" t="n">
        <v>1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5">
        <f>SUM(J24:S24)</f>
        <v/>
      </c>
      <c r="U24">
        <f>IF(COUNT(J24:S24)=0,"",IF(COUNT(J24:S24)&lt;10,"INCOMPLETE",IF(N(V24)=0,"",IF(T24=V24,"OK","OFF BY "&amp;TEXT(T24-V24,"+0;-0")))))</f>
        <v/>
      </c>
      <c r="V24">
        <f>IF(N($Y$2)+N($Y$3)=0,"",IF($I24=1,$Y$2,$Y$3))</f>
        <v/>
      </c>
    </row>
    <row r="25">
      <c r="A25" t="n">
        <v>24</v>
      </c>
      <c r="B25" t="inlineStr">
        <is>
          <t>Lord Aiguille</t>
        </is>
      </c>
      <c r="C25" t="inlineStr">
        <is>
          <t>24-pierce-aiguille</t>
        </is>
      </c>
      <c r="D25" t="inlineStr">
        <is>
          <t>Martial</t>
        </is>
      </c>
      <c r="E25" t="inlineStr">
        <is>
          <t>Pierce</t>
        </is>
      </c>
      <c r="F25" t="inlineStr">
        <is>
          <t>Light</t>
        </is>
      </c>
      <c r="G25" s="3" t="inlineStr">
        <is>
          <t>Slash</t>
        </is>
      </c>
      <c r="H25" s="3" t="inlineStr">
        <is>
          <t>Dark</t>
        </is>
      </c>
      <c r="I25" t="n">
        <v>2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5">
        <f>SUM(J25:S25)</f>
        <v/>
      </c>
      <c r="U25">
        <f>IF(COUNT(J25:S25)=0,"",IF(COUNT(J25:S25)&lt;10,"INCOMPLETE",IF(N(V25)=0,"",IF(T25=V25,"OK","OFF BY "&amp;TEXT(T25-V25,"+0;-0")))))</f>
        <v/>
      </c>
      <c r="V25">
        <f>IF(N($Y$2)+N($Y$3)=0,"",IF($I25=1,$Y$2,$Y$3))</f>
        <v/>
      </c>
    </row>
    <row r="26">
      <c r="A26" t="n">
        <v>25</v>
      </c>
      <c r="B26" t="inlineStr">
        <is>
          <t>Boldrek</t>
        </is>
      </c>
      <c r="C26" t="inlineStr">
        <is>
          <t>25-crush-boldrek</t>
        </is>
      </c>
      <c r="D26" t="inlineStr">
        <is>
          <t>Martial</t>
        </is>
      </c>
      <c r="E26" t="inlineStr">
        <is>
          <t>Crush</t>
        </is>
      </c>
      <c r="F26" t="inlineStr">
        <is>
          <t>Light</t>
        </is>
      </c>
      <c r="G26" s="3" t="inlineStr">
        <is>
          <t>Pierce</t>
        </is>
      </c>
      <c r="H26" s="3" t="inlineStr">
        <is>
          <t>Dark</t>
        </is>
      </c>
      <c r="I26" t="n">
        <v>1</v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5">
        <f>SUM(J26:S26)</f>
        <v/>
      </c>
      <c r="U26">
        <f>IF(COUNT(J26:S26)=0,"",IF(COUNT(J26:S26)&lt;10,"INCOMPLETE",IF(N(V26)=0,"",IF(T26=V26,"OK","OFF BY "&amp;TEXT(T26-V26,"+0;-0")))))</f>
        <v/>
      </c>
      <c r="V26">
        <f>IF(N($Y$2)+N($Y$3)=0,"",IF($I26=1,$Y$2,$Y$3))</f>
        <v/>
      </c>
    </row>
    <row r="27">
      <c r="A27" t="n">
        <v>26</v>
      </c>
      <c r="B27" t="inlineStr">
        <is>
          <t>Hettamar Ironfall</t>
        </is>
      </c>
      <c r="C27" t="inlineStr">
        <is>
          <t>26-crush-hettamar</t>
        </is>
      </c>
      <c r="D27" t="inlineStr">
        <is>
          <t>Martial</t>
        </is>
      </c>
      <c r="E27" t="inlineStr">
        <is>
          <t>Crush</t>
        </is>
      </c>
      <c r="F27" t="inlineStr">
        <is>
          <t>Dark</t>
        </is>
      </c>
      <c r="G27" s="3" t="inlineStr">
        <is>
          <t>Pierce</t>
        </is>
      </c>
      <c r="H27" s="3" t="inlineStr">
        <is>
          <t>Light</t>
        </is>
      </c>
      <c r="I27" t="n">
        <v>1</v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5">
        <f>SUM(J27:S27)</f>
        <v/>
      </c>
      <c r="U27">
        <f>IF(COUNT(J27:S27)=0,"",IF(COUNT(J27:S27)&lt;10,"INCOMPLETE",IF(N(V27)=0,"",IF(T27=V27,"OK","OFF BY "&amp;TEXT(T27-V27,"+0;-0")))))</f>
        <v/>
      </c>
      <c r="V27">
        <f>IF(N($Y$2)+N($Y$3)=0,"",IF($I27=1,$Y$2,$Y$3))</f>
        <v/>
      </c>
    </row>
    <row r="28">
      <c r="A28" t="n">
        <v>27</v>
      </c>
      <c r="B28" t="inlineStr">
        <is>
          <t>Mauless</t>
        </is>
      </c>
      <c r="C28" t="inlineStr">
        <is>
          <t>27-crush-mauless</t>
        </is>
      </c>
      <c r="D28" t="inlineStr">
        <is>
          <t>Martial</t>
        </is>
      </c>
      <c r="E28" t="inlineStr">
        <is>
          <t>Crush</t>
        </is>
      </c>
      <c r="F28" t="inlineStr">
        <is>
          <t>Earth</t>
        </is>
      </c>
      <c r="G28" s="3" t="inlineStr">
        <is>
          <t>Pierce</t>
        </is>
      </c>
      <c r="H28" s="3" t="inlineStr">
        <is>
          <t>Air</t>
        </is>
      </c>
      <c r="I28" t="n">
        <v>2</v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5">
        <f>SUM(J28:S28)</f>
        <v/>
      </c>
      <c r="U28">
        <f>IF(COUNT(J28:S28)=0,"",IF(COUNT(J28:S28)&lt;10,"INCOMPLETE",IF(N(V28)=0,"",IF(T28=V28,"OK","OFF BY "&amp;TEXT(T28-V28,"+0;-0")))))</f>
        <v/>
      </c>
      <c r="V28">
        <f>IF(N($Y$2)+N($Y$3)=0,"",IF($I28=1,$Y$2,$Y$3))</f>
        <v/>
      </c>
    </row>
  </sheetData>
  <autoFilter ref="A1:V28"/>
  <dataValidations count="1">
    <dataValidation sqref="J2:S28" showDropDown="0" showInputMessage="1" showErrorMessage="1" allowBlank="1" errorTitle="Outside the base range" error="Base stats are normally 1-50. Continue anyway?" promptTitle="Base stat" prompt="Normally 1-50. Totals are targets, not caps." type="whole" errorStyle="warning" operator="between">
      <formula1>1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15" customWidth="1" min="1" max="1"/>
    <col width="78" customWidth="1" min="2" max="2"/>
  </cols>
  <sheetData>
    <row r="1">
      <c r="A1" s="7" t="inlineStr">
        <is>
          <t>LMNTLZ — hero base stats</t>
        </is>
      </c>
    </row>
    <row r="3">
      <c r="A3" s="5" t="inlineStr">
        <is>
          <t>Targets</t>
        </is>
      </c>
      <c r="B3" t="inlineStr">
        <is>
          <t>Nothing here is capped. A target total is a guide you set, not a</t>
        </is>
      </c>
    </row>
    <row r="4">
      <c r="A4" s="5" t="inlineStr"/>
      <c r="B4" t="inlineStr">
        <is>
          <t>limit, and totals need not match across heroes.</t>
        </is>
      </c>
    </row>
    <row r="5">
      <c r="A5" s="5" t="inlineStr"/>
      <c r="B5" t="inlineStr">
        <is>
          <t>Set Y2 (reach 1) and Y3 (reach 2) on the Hero Stats sheet and every</t>
        </is>
      </c>
    </row>
    <row r="6">
      <c r="A6" s="5" t="inlineStr"/>
      <c r="B6" t="inlineStr">
        <is>
          <t>row's TARGET follows. A shorter-reach hero may be given the richer</t>
        </is>
      </c>
    </row>
    <row r="7">
      <c r="A7" s="5" t="inlineStr"/>
      <c r="B7" t="inlineStr">
        <is>
          <t>budget — that is the point of splitting the target by reach.</t>
        </is>
      </c>
    </row>
    <row r="8">
      <c r="A8" s="5" t="inlineStr"/>
      <c r="B8" t="inlineStr">
        <is>
          <t>Leave both blank and CHECK simply stays quiet.</t>
        </is>
      </c>
    </row>
    <row r="9">
      <c r="A9" s="5" t="inlineStr"/>
      <c r="B9" t="inlineStr">
        <is>
          <t>For a one-off hero, overwrite that row's TARGET cell with a number.</t>
        </is>
      </c>
    </row>
    <row r="10">
      <c r="A10" s="5" t="inlineStr">
        <is>
          <t>Base range</t>
        </is>
      </c>
      <c r="B10" t="inlineStr">
        <is>
          <t>Each base stat is normally 1-50. Outside that you get a</t>
        </is>
      </c>
    </row>
    <row r="11">
      <c r="A11" s="5" t="inlineStr"/>
      <c r="B11" t="inlineStr">
        <is>
          <t>warning you can dismiss, not a block.</t>
        </is>
      </c>
    </row>
    <row r="12">
      <c r="A12" s="5" t="inlineStr">
        <is>
          <t>Later ceiling</t>
        </is>
      </c>
      <c r="B12" t="inlineStr">
        <is>
          <t>100 per stat once growth exists. Growth is not designed yet.</t>
        </is>
      </c>
    </row>
    <row r="13">
      <c r="A13" s="5" t="inlineStr">
        <is>
          <t>CHECK column</t>
        </is>
      </c>
      <c r="B13" t="inlineStr">
        <is>
          <t>Blank until you start; INCOMPLETE until all ten are filled;</t>
        </is>
      </c>
    </row>
    <row r="14">
      <c r="A14" s="5" t="inlineStr"/>
      <c r="B14" t="inlineStr">
        <is>
          <t>then quiet if no target is set, else OK or "OFF BY +n / -n".</t>
        </is>
      </c>
    </row>
    <row r="15">
      <c r="A15" s="5" t="inlineStr">
        <is>
          <t>SPREAD block</t>
        </is>
      </c>
      <c r="B15" t="inlineStr">
        <is>
          <t>X6:Z10 on the Hero Stats sheet — live hero counts and average</t>
        </is>
      </c>
    </row>
    <row r="16">
      <c r="A16" s="5" t="inlineStr"/>
      <c r="B16" t="inlineStr">
        <is>
          <t>totals per reach group, so the reach/budget trade stays visible.</t>
        </is>
      </c>
    </row>
    <row r="17">
      <c r="A17" s="5" t="n"/>
    </row>
    <row r="18">
      <c r="A18" s="5" t="inlineStr">
        <is>
          <t>Derived</t>
        </is>
      </c>
      <c r="B18" t="inlineStr">
        <is>
          <t>Bane and Fault are computed from Primary and Secondary and must</t>
        </is>
      </c>
    </row>
    <row r="19">
      <c r="A19" s="5" t="inlineStr"/>
      <c r="B19" t="inlineStr">
        <is>
          <t>never be hand-edited. Bane = counter(Primary), Fault = counter(Secondary).</t>
        </is>
      </c>
    </row>
    <row r="20">
      <c r="A20" s="5" t="inlineStr"/>
      <c r="B20" t="inlineStr">
        <is>
          <t>counter: Earth&lt;-&gt;Air, Fire&lt;-&gt;Water, Light&lt;-&gt;Dark, Crush&gt;Slash&gt;Pierce&gt;Crush.</t>
        </is>
      </c>
    </row>
    <row r="21">
      <c r="A21" s="5" t="n"/>
    </row>
    <row r="22">
      <c r="A22" s="5" t="inlineStr">
        <is>
          <t>Reach</t>
        </is>
      </c>
      <c r="B22" t="inlineStr">
        <is>
          <t>Proposed only — not settled, and NOT one of the ten stats.</t>
        </is>
      </c>
    </row>
    <row r="23">
      <c r="A23" s="5" t="inlineStr"/>
      <c r="B23" t="inlineStr">
        <is>
          <t>It is positional: never scales, never enters a damage formula.</t>
        </is>
      </c>
    </row>
    <row r="24">
      <c r="A24" s="5" t="inlineStr"/>
      <c r="B24" t="inlineStr">
        <is>
          <t>It does drive the TARGET column, which is a budgeting choice.</t>
        </is>
      </c>
    </row>
    <row r="25">
      <c r="A25" s="5" t="n"/>
    </row>
    <row r="26">
      <c r="A26" s="5" t="inlineStr">
        <is>
          <t>Regenerating</t>
        </is>
      </c>
      <c r="B26" t="inlineStr">
        <is>
          <t>tools/build-hero-stats.py rebuilds this file and OVERWRITES it.</t>
        </is>
      </c>
    </row>
    <row r="27">
      <c r="A27" s="5" t="inlineStr"/>
      <c r="B27" t="inlineStr">
        <is>
          <t>Do not run it once real stat values have been entered.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2026-07-27T00:16:34Z</dcterms:created>
  <dcterms:modified xsi:type="dcterms:W3CDTF">2026-07-27T00:16:34Z</dcterms:modified>
</cp:coreProperties>
</file>